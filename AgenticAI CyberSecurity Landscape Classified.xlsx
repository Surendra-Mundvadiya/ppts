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ndscape Data" sheetId="1" state="visible" r:id="rId3"/>
    <sheet name="Summary Pivots" sheetId="2" state="visible" r:id="rId4"/>
    <sheet name="Excluded Record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<sst xmlns="http://schemas.openxmlformats.org/spreadsheetml/2006/main" count="7330" uniqueCount="2557">
  <si>
    <t xml:space="preserve">Publication Number</t>
  </si>
  <si>
    <t xml:space="preserve">Title</t>
  </si>
  <si>
    <t xml:space="preserve">Publication Date</t>
  </si>
  <si>
    <t xml:space="preserve">Year</t>
  </si>
  <si>
    <t xml:space="preserve">Country Code</t>
  </si>
  <si>
    <t xml:space="preserve">Company</t>
  </si>
  <si>
    <t xml:space="preserve">Category</t>
  </si>
  <si>
    <t xml:space="preserve">Current Assignee First</t>
  </si>
  <si>
    <t xml:space="preserve">Citing Patent Count</t>
  </si>
  <si>
    <t xml:space="preserve">US12670263</t>
  </si>
  <si>
    <t xml:space="preserve">Large language model-based vulnerability remediation action descriptions</t>
  </si>
  <si>
    <t xml:space="preserve">2026-06-30</t>
  </si>
  <si>
    <t xml:space="preserve">US</t>
  </si>
  <si>
    <t xml:space="preserve">Palo Alto Networks</t>
  </si>
  <si>
    <t xml:space="preserve">Vulnerability Management &amp; Remediation</t>
  </si>
  <si>
    <t xml:space="preserve">PALO ALTO NETWORKS INC</t>
  </si>
  <si>
    <t xml:space="preserve">US12670274</t>
  </si>
  <si>
    <t xml:space="preserve">Dynamically securing operations in agentic artificial intelligence models</t>
  </si>
  <si>
    <t xml:space="preserve">CyberArk</t>
  </si>
  <si>
    <t xml:space="preserve">Agentic AI Orchestration Security</t>
  </si>
  <si>
    <t xml:space="preserve">CYBERARK SOFTWARE LTD</t>
  </si>
  <si>
    <t xml:space="preserve">US12671676</t>
  </si>
  <si>
    <t xml:space="preserve">Fast policy matching with runtime signature update</t>
  </si>
  <si>
    <t xml:space="preserve">Malware &amp; Ransomware Defense</t>
  </si>
  <si>
    <t xml:space="preserve">US12671699</t>
  </si>
  <si>
    <t xml:space="preserve">Campaign intelligence and visualization for combating cyberattacks</t>
  </si>
  <si>
    <t xml:space="preserve">Microsoft</t>
  </si>
  <si>
    <t xml:space="preserve">SecOps Automation &amp; Incident Response</t>
  </si>
  <si>
    <t xml:space="preserve">MICROSOFT TECH LICENSING LLC</t>
  </si>
  <si>
    <t xml:space="preserve">US20260178746</t>
  </si>
  <si>
    <t xml:space="preserve">Identifying vulnerabilities in binary files using a code signature</t>
  </si>
  <si>
    <t xml:space="preserve">2026-06-25</t>
  </si>
  <si>
    <t xml:space="preserve">US20260181022</t>
  </si>
  <si>
    <t xml:space="preserve">Cloud dynamic endpoint group</t>
  </si>
  <si>
    <t xml:space="preserve">Endpoint &amp; Device Security</t>
  </si>
  <si>
    <t xml:space="preserve">US20260181024</t>
  </si>
  <si>
    <t xml:space="preserve">Consolidated alert remediation using large language models and graph structures</t>
  </si>
  <si>
    <t xml:space="preserve">LLM &amp; Generative AI Security</t>
  </si>
  <si>
    <t xml:space="preserve">WO2026131200A1</t>
  </si>
  <si>
    <t xml:space="preserve">Grouped ransomware detection in data storage systems</t>
  </si>
  <si>
    <t xml:space="preserve">WO</t>
  </si>
  <si>
    <t xml:space="preserve">IBM</t>
  </si>
  <si>
    <t xml:space="preserve">IBM DEUTSCHLAND GMBH</t>
  </si>
  <si>
    <t xml:space="preserve">EP4762469A1</t>
  </si>
  <si>
    <t xml:space="preserve">Artificial intelligence security engine in a security management system</t>
  </si>
  <si>
    <t xml:space="preserve">2026-06-24</t>
  </si>
  <si>
    <t xml:space="preserve">EP</t>
  </si>
  <si>
    <t xml:space="preserve">EP4762706A2</t>
  </si>
  <si>
    <t xml:space="preserve">Cyber security systems and methods</t>
  </si>
  <si>
    <t xml:space="preserve">Identity &amp; Access Management</t>
  </si>
  <si>
    <t xml:space="preserve">EP4764918A2</t>
  </si>
  <si>
    <t xml:space="preserve">Context informed abnormal endpoint behavior detection</t>
  </si>
  <si>
    <t xml:space="preserve">AI Threat &amp; Anomaly Detection</t>
  </si>
  <si>
    <t xml:space="preserve">EP4765755A2</t>
  </si>
  <si>
    <t xml:space="preserve">Machine learning time series anomaly detection</t>
  </si>
  <si>
    <t xml:space="preserve">Google (Alphabet)</t>
  </si>
  <si>
    <t xml:space="preserve">GOOGLE LLC</t>
  </si>
  <si>
    <t xml:space="preserve">CN122270759A</t>
  </si>
  <si>
    <t xml:space="preserve">Security threat mitigation</t>
  </si>
  <si>
    <t xml:space="preserve">2026-06-23</t>
  </si>
  <si>
    <t xml:space="preserve">CN</t>
  </si>
  <si>
    <t xml:space="preserve">US12664278</t>
  </si>
  <si>
    <t xml:space="preserve">US12664288</t>
  </si>
  <si>
    <t xml:space="preserve">Generating remediation strategies for responding to security deficiencies using generative machine learning models</t>
  </si>
  <si>
    <t xml:space="preserve">Cisco (incl. Splunk)</t>
  </si>
  <si>
    <t xml:space="preserve">CISCO TECH INC</t>
  </si>
  <si>
    <t xml:space="preserve">US12664502</t>
  </si>
  <si>
    <t xml:space="preserve">Access control techniques based on software bill of materials</t>
  </si>
  <si>
    <t xml:space="preserve">US12665920</t>
  </si>
  <si>
    <t xml:space="preserve">Coordinated monitoring of heterogeneous domains in extended detection and response (XDR) systems</t>
  </si>
  <si>
    <t xml:space="preserve">US12665926</t>
  </si>
  <si>
    <t xml:space="preserve">System and methods of defense against DDoS attacks for applications on a multi-substrate multi-ingress shared infrastructure with multiple cloud architectures</t>
  </si>
  <si>
    <t xml:space="preserve">Salesforce</t>
  </si>
  <si>
    <t xml:space="preserve">Network &amp; Traffic Security</t>
  </si>
  <si>
    <t xml:space="preserve">SALESFORCE INC</t>
  </si>
  <si>
    <t xml:space="preserve">US12665928</t>
  </si>
  <si>
    <t xml:space="preserve">Detecting and mitigating injection of indirect instructions for trained models</t>
  </si>
  <si>
    <t xml:space="preserve">US20260170124</t>
  </si>
  <si>
    <t xml:space="preserve">Detecting and mitigating security risks in generative model applications</t>
  </si>
  <si>
    <t xml:space="preserve">2026-06-18</t>
  </si>
  <si>
    <t xml:space="preserve">US20260170133</t>
  </si>
  <si>
    <t xml:space="preserve">AI/ML Model Assessment</t>
  </si>
  <si>
    <t xml:space="preserve">CrowdStrike</t>
  </si>
  <si>
    <t xml:space="preserve">CROWDSTRIKE INC</t>
  </si>
  <si>
    <t xml:space="preserve">US20260170153</t>
  </si>
  <si>
    <t xml:space="preserve">Text-based tagging of security deficiencies using generative machine learning models</t>
  </si>
  <si>
    <t xml:space="preserve">US20260170419</t>
  </si>
  <si>
    <t xml:space="preserve">Anomaly detection based on ensemble machine learning model</t>
  </si>
  <si>
    <t xml:space="preserve">US20260172421</t>
  </si>
  <si>
    <t xml:space="preserve">Client-initiated device fingerprint data collection</t>
  </si>
  <si>
    <t xml:space="preserve">US20260172447</t>
  </si>
  <si>
    <t xml:space="preserve">Real-time detection of dns hijacking</t>
  </si>
  <si>
    <t xml:space="preserve">US20260172451</t>
  </si>
  <si>
    <t xml:space="preserve">Cybersecurity Reinforcement Learning Agent</t>
  </si>
  <si>
    <t xml:space="preserve">US12657295</t>
  </si>
  <si>
    <t xml:space="preserve">Detecting and mitigating ransomware attacks</t>
  </si>
  <si>
    <t xml:space="preserve">2026-06-16</t>
  </si>
  <si>
    <t xml:space="preserve">US12657302</t>
  </si>
  <si>
    <t xml:space="preserve">Latent-context alert correlation engine in a security management system</t>
  </si>
  <si>
    <t xml:space="preserve">US12657454</t>
  </si>
  <si>
    <t xml:space="preserve">Systems and methods for unsupervised anomaly detection</t>
  </si>
  <si>
    <t xml:space="preserve">US12657512</t>
  </si>
  <si>
    <t xml:space="preserve">Machine learning training duration control</t>
  </si>
  <si>
    <t xml:space="preserve">US12659307</t>
  </si>
  <si>
    <t xml:space="preserve">Network authentication service security</t>
  </si>
  <si>
    <t xml:space="preserve">US12659349</t>
  </si>
  <si>
    <t xml:space="preserve">Systems and methods for providing system wide cyber security policies</t>
  </si>
  <si>
    <t xml:space="preserve">Cloud &amp; Container Security</t>
  </si>
  <si>
    <t xml:space="preserve">US12659355</t>
  </si>
  <si>
    <t xml:space="preserve">Adaptive policy generation in distributed security fabrics</t>
  </si>
  <si>
    <t xml:space="preserve">US20260161776</t>
  </si>
  <si>
    <t xml:space="preserve">Cross-namespace risk assessment</t>
  </si>
  <si>
    <t xml:space="preserve">2026-06-11</t>
  </si>
  <si>
    <t xml:space="preserve">US20260161779</t>
  </si>
  <si>
    <t xml:space="preserve">Graph-ai based methods and solutions for highly effective and high-coverage detection of malicious web applications and zero-day malicious campaigns</t>
  </si>
  <si>
    <t xml:space="preserve">US20260162022</t>
  </si>
  <si>
    <t xml:space="preserve">Two-Stage Boosting for Training a Decision-Tree Ensemble</t>
  </si>
  <si>
    <t xml:space="preserve">US20260163899</t>
  </si>
  <si>
    <t xml:space="preserve">Network anomaly detection</t>
  </si>
  <si>
    <t xml:space="preserve">EP4756654A1</t>
  </si>
  <si>
    <t xml:space="preserve">Cybersecurity threat intelligence graph construction</t>
  </si>
  <si>
    <t xml:space="preserve">2026-06-10</t>
  </si>
  <si>
    <t xml:space="preserve">EP4527038B1</t>
  </si>
  <si>
    <t xml:space="preserve">Threat detection for cloud applications</t>
  </si>
  <si>
    <t xml:space="preserve">US12651061</t>
  </si>
  <si>
    <t xml:space="preserve">Cybersecurity tools for managing anomalous security data items</t>
  </si>
  <si>
    <t xml:space="preserve">2026-06-09</t>
  </si>
  <si>
    <t xml:space="preserve">US12652224</t>
  </si>
  <si>
    <t xml:space="preserve">Device type discovery based on network address translated network traffic</t>
  </si>
  <si>
    <t xml:space="preserve">US12652293</t>
  </si>
  <si>
    <t xml:space="preserve">Data centric approach for supporting multiple inline cloud services</t>
  </si>
  <si>
    <t xml:space="preserve">US12652299</t>
  </si>
  <si>
    <t xml:space="preserve">Network anomaly detection based on graph edge characteristics</t>
  </si>
  <si>
    <t xml:space="preserve">US12652301</t>
  </si>
  <si>
    <t xml:space="preserve">Multi-process shared-memory message communication</t>
  </si>
  <si>
    <t xml:space="preserve">US20260154409</t>
  </si>
  <si>
    <t xml:space="preserve">Anomaly detection engine in a security management system</t>
  </si>
  <si>
    <t xml:space="preserve">2026-06-04</t>
  </si>
  <si>
    <t xml:space="preserve">US20260154420</t>
  </si>
  <si>
    <t xml:space="preserve">Technology for phishing awareness and phishing detection</t>
  </si>
  <si>
    <t xml:space="preserve">US20260156140</t>
  </si>
  <si>
    <t xml:space="preserve">App security: agentless solution to identify internal service to service dependencies and routes</t>
  </si>
  <si>
    <t xml:space="preserve">US20260156141</t>
  </si>
  <si>
    <t xml:space="preserve">Cybersecurity engine in a security management system</t>
  </si>
  <si>
    <t xml:space="preserve">US20260156148</t>
  </si>
  <si>
    <t xml:space="preserve">Automated detection of website impersonation and phishing attempts using machine learning for feature extraction and similarity search</t>
  </si>
  <si>
    <t xml:space="preserve">Fortinet</t>
  </si>
  <si>
    <t xml:space="preserve">FORTINET INC</t>
  </si>
  <si>
    <t xml:space="preserve">WO2026117288A1</t>
  </si>
  <si>
    <t xml:space="preserve">Grand-scale unified ai-driven rapid disruption</t>
  </si>
  <si>
    <t xml:space="preserve">WO2026117291A1</t>
  </si>
  <si>
    <t xml:space="preserve">Correlating structured and unstructured domain-specific data</t>
  </si>
  <si>
    <t xml:space="preserve">EP4751180A1</t>
  </si>
  <si>
    <t xml:space="preserve">A method and apparatus for detecting security threats</t>
  </si>
  <si>
    <t xml:space="preserve">2026-06-03</t>
  </si>
  <si>
    <t xml:space="preserve">Samsung</t>
  </si>
  <si>
    <t xml:space="preserve">SAMSUNG ELTNC CO LTD</t>
  </si>
  <si>
    <t xml:space="preserve">US12645796</t>
  </si>
  <si>
    <t xml:space="preserve">Using artificial intelligence models with intermediate representations to analyze malicious files</t>
  </si>
  <si>
    <t xml:space="preserve">2026-06-02</t>
  </si>
  <si>
    <t xml:space="preserve">US12647395</t>
  </si>
  <si>
    <t xml:space="preserve">Firewalls automatic rules creation from stealthwatch data</t>
  </si>
  <si>
    <t xml:space="preserve">US12647396</t>
  </si>
  <si>
    <t xml:space="preserve">Inventory monitoring for cloud resource protection in real time</t>
  </si>
  <si>
    <t xml:space="preserve">US20260147890</t>
  </si>
  <si>
    <t xml:space="preserve">Inline malicious xml detection with combined heuristic analysis and deep learning</t>
  </si>
  <si>
    <t xml:space="preserve">2026-05-28</t>
  </si>
  <si>
    <t xml:space="preserve">US20260147892</t>
  </si>
  <si>
    <t xml:space="preserve">Heidi: ml on hypervisor dynamic analysis data for malware classification</t>
  </si>
  <si>
    <t xml:space="preserve">US20260149741</t>
  </si>
  <si>
    <t xml:space="preserve">Real-time automated extraction of campaign cti from threat reports</t>
  </si>
  <si>
    <t xml:space="preserve">EP4747773A1</t>
  </si>
  <si>
    <t xml:space="preserve">Anomaly detection through clustering of time-series data subsequences and determination of adaptive thresholding</t>
  </si>
  <si>
    <t xml:space="preserve">2026-05-27</t>
  </si>
  <si>
    <t xml:space="preserve">SPLUNK INC</t>
  </si>
  <si>
    <t xml:space="preserve">EP4333373B1</t>
  </si>
  <si>
    <t xml:space="preserve">System and method for gathering, analyzing, and reporting global cybersecurity threats</t>
  </si>
  <si>
    <t xml:space="preserve">HARMAN CONNECTED SRVC CORP</t>
  </si>
  <si>
    <t xml:space="preserve">CN122095361A</t>
  </si>
  <si>
    <t xml:space="preserve">Determining abnormal tool calls for an application using a large generative model</t>
  </si>
  <si>
    <t xml:space="preserve">2026-05-26</t>
  </si>
  <si>
    <t xml:space="preserve">US12639355</t>
  </si>
  <si>
    <t xml:space="preserve">Identifying hallucinations in large language model output</t>
  </si>
  <si>
    <t xml:space="preserve">US20260141060</t>
  </si>
  <si>
    <t xml:space="preserve">Remediation plan generation for security policy violations based on aggregation of related violations</t>
  </si>
  <si>
    <t xml:space="preserve">2026-05-21</t>
  </si>
  <si>
    <t xml:space="preserve">US20260141065</t>
  </si>
  <si>
    <t xml:space="preserve">Diagnostic and remediation processes for a security platform</t>
  </si>
  <si>
    <t xml:space="preserve">US20260143000</t>
  </si>
  <si>
    <t xml:space="preserve">Probabilistic attack technique detection in extended detection and response systems</t>
  </si>
  <si>
    <t xml:space="preserve">EP4745812A1</t>
  </si>
  <si>
    <t xml:space="preserve">Results insights</t>
  </si>
  <si>
    <t xml:space="preserve">2026-05-20</t>
  </si>
  <si>
    <t xml:space="preserve">US12632591</t>
  </si>
  <si>
    <t xml:space="preserve">Sensitive data reclassification engine in a security management system</t>
  </si>
  <si>
    <t xml:space="preserve">2026-05-19</t>
  </si>
  <si>
    <t xml:space="preserve">US12634282</t>
  </si>
  <si>
    <t xml:space="preserve">Automated satellite device authentication to a portal for secure remote access</t>
  </si>
  <si>
    <t xml:space="preserve">WO2026101575A1</t>
  </si>
  <si>
    <t xml:space="preserve">Agent-based searching over heterogeneous data sources</t>
  </si>
  <si>
    <t xml:space="preserve">2026-05-15</t>
  </si>
  <si>
    <t xml:space="preserve">WO2026101580A1</t>
  </si>
  <si>
    <t xml:space="preserve">Human and non-human identity risk exposure analysis</t>
  </si>
  <si>
    <t xml:space="preserve">US20260134096</t>
  </si>
  <si>
    <t xml:space="preserve">Security control engine(s) for preventing execution of files based on filename patterns and file activity history</t>
  </si>
  <si>
    <t xml:space="preserve">2026-05-14</t>
  </si>
  <si>
    <t xml:space="preserve">US20260134112</t>
  </si>
  <si>
    <t xml:space="preserve">Risk mitigation techniques based on software bill of materials</t>
  </si>
  <si>
    <t xml:space="preserve">US20260134144</t>
  </si>
  <si>
    <t xml:space="preserve">Controlling application access to sensitive data</t>
  </si>
  <si>
    <t xml:space="preserve">US20260135864</t>
  </si>
  <si>
    <t xml:space="preserve">Detecting microsoft .net malware using machine learning on .net structure</t>
  </si>
  <si>
    <t xml:space="preserve">US20260135884</t>
  </si>
  <si>
    <t xml:space="preserve">Retrospective campaign detection, categorization, classification, and remediation</t>
  </si>
  <si>
    <t xml:space="preserve">US20260135887</t>
  </si>
  <si>
    <t xml:space="preserve">Security graph layering engine in a security management system</t>
  </si>
  <si>
    <t xml:space="preserve">JP7858074B2</t>
  </si>
  <si>
    <t xml:space="preserve">Application identification for phishing detection</t>
  </si>
  <si>
    <t xml:space="preserve">2026-05-13</t>
  </si>
  <si>
    <t xml:space="preserve">JP</t>
  </si>
  <si>
    <t xml:space="preserve">US12625973</t>
  </si>
  <si>
    <t xml:space="preserve">CPE prediction using banner-prompted LLM</t>
  </si>
  <si>
    <t xml:space="preserve">2026-05-12</t>
  </si>
  <si>
    <t xml:space="preserve">US12627689</t>
  </si>
  <si>
    <t xml:space="preserve">Large language model (LLM) powered detection reasoning solution</t>
  </si>
  <si>
    <t xml:space="preserve">US20260127265</t>
  </si>
  <si>
    <t xml:space="preserve">Cybersecurity Provenance of ML/AI Models</t>
  </si>
  <si>
    <t xml:space="preserve">2026-05-07</t>
  </si>
  <si>
    <t xml:space="preserve">US20260129062</t>
  </si>
  <si>
    <t xml:space="preserve">Machine learning for prioritizing traffic in multi-purpose inline cloud analysis (mica) to enhance malware detection</t>
  </si>
  <si>
    <t xml:space="preserve">US20260129066</t>
  </si>
  <si>
    <t xml:space="preserve">Asynchronous data processing in extended detection and response systems</t>
  </si>
  <si>
    <t xml:space="preserve">US20260129067</t>
  </si>
  <si>
    <t xml:space="preserve">Techniques for risk management based on software bill of materials</t>
  </si>
  <si>
    <t xml:space="preserve">US20260129070</t>
  </si>
  <si>
    <t xml:space="preserve">Automated generation of behavioral signatures for malicious web campaigns</t>
  </si>
  <si>
    <t xml:space="preserve">US20260129074</t>
  </si>
  <si>
    <t xml:space="preserve">Machine learning architecture for detecting malicious files using stream of data</t>
  </si>
  <si>
    <t xml:space="preserve">WO2026096020A1</t>
  </si>
  <si>
    <t xml:space="preserve">Autonomous threat investigation</t>
  </si>
  <si>
    <t xml:space="preserve">US12619691</t>
  </si>
  <si>
    <t xml:space="preserve">Extending EAP for supporting generative AI challenges</t>
  </si>
  <si>
    <t xml:space="preserve">2026-05-05</t>
  </si>
  <si>
    <t xml:space="preserve">US12619716</t>
  </si>
  <si>
    <t xml:space="preserve">Multivariate threat detection for a CI/CD pipeline</t>
  </si>
  <si>
    <t xml:space="preserve">US12619725</t>
  </si>
  <si>
    <t xml:space="preserve">Systems and methods for malicious command line and script detection through deployment of generative artificial intelligence</t>
  </si>
  <si>
    <t xml:space="preserve">US12621271</t>
  </si>
  <si>
    <t xml:space="preserve">Zero-trust network access (ZTNA) secure traffic forwarding</t>
  </si>
  <si>
    <t xml:space="preserve">US12621312</t>
  </si>
  <si>
    <t xml:space="preserve">Incident descriptions for extended detection and response to security anomalies</t>
  </si>
  <si>
    <t xml:space="preserve">US12621336</t>
  </si>
  <si>
    <t xml:space="preserve">Systems and methods for addressing inconsistencies in attack paths</t>
  </si>
  <si>
    <t xml:space="preserve">US12621343</t>
  </si>
  <si>
    <t xml:space="preserve">Enhanced internal host detection protocol</t>
  </si>
  <si>
    <t xml:space="preserve">US12621351</t>
  </si>
  <si>
    <t xml:space="preserve">Secure conditional domain name system operation</t>
  </si>
  <si>
    <t xml:space="preserve">US20260119645</t>
  </si>
  <si>
    <t xml:space="preserve">Securely deploying applications by a cloud service provider</t>
  </si>
  <si>
    <t xml:space="preserve">2026-04-30</t>
  </si>
  <si>
    <t xml:space="preserve">US20260119647</t>
  </si>
  <si>
    <t xml:space="preserve">Connecting natural and security language in the embedding space for better threat hunting and incident response</t>
  </si>
  <si>
    <t xml:space="preserve">US20260122029</t>
  </si>
  <si>
    <t xml:space="preserve">Advanced dns response cache</t>
  </si>
  <si>
    <t xml:space="preserve">US20260122036</t>
  </si>
  <si>
    <t xml:space="preserve">Methods and Systems for Application Layer Event Classification Through a Synthetic Indicator in a Shared Infrastructure Computing Environment</t>
  </si>
  <si>
    <t xml:space="preserve">US20260122040</t>
  </si>
  <si>
    <t xml:space="preserve">Secure web proxy and temporary passcode for ssl exempted session-based authentication</t>
  </si>
  <si>
    <t xml:space="preserve">US20260122082</t>
  </si>
  <si>
    <t xml:space="preserve">Accuracy in attack technique labeling in an extended detection system</t>
  </si>
  <si>
    <t xml:space="preserve">US20260122094</t>
  </si>
  <si>
    <t xml:space="preserve">Incorporating software maturity in attack graphs for zero-day mitigation</t>
  </si>
  <si>
    <t xml:space="preserve">US20260122129</t>
  </si>
  <si>
    <t xml:space="preserve">File sharing framework in network security systems to synchronize data and configuration files across virtual machine clusters independent of file sharing technologies</t>
  </si>
  <si>
    <t xml:space="preserve">WO2026087985A1</t>
  </si>
  <si>
    <t xml:space="preserve">Network security based on vendor network scoring with dynamic network segmentation</t>
  </si>
  <si>
    <t xml:space="preserve">IBM CHINA CO LTD</t>
  </si>
  <si>
    <t xml:space="preserve">EP4732506A1</t>
  </si>
  <si>
    <t xml:space="preserve">Multi-perspective user and entity behavior analytics for software-as-a-service applications</t>
  </si>
  <si>
    <t xml:space="preserve">2026-04-29</t>
  </si>
  <si>
    <t xml:space="preserve">US12615267</t>
  </si>
  <si>
    <t xml:space="preserve">Thumbprinting security incidents via graph embeddings</t>
  </si>
  <si>
    <t xml:space="preserve">2026-04-28</t>
  </si>
  <si>
    <t xml:space="preserve">US12615297</t>
  </si>
  <si>
    <t xml:space="preserve">Data security grouping and ranking</t>
  </si>
  <si>
    <t xml:space="preserve">US20260111546</t>
  </si>
  <si>
    <t xml:space="preserve">Automated function-level code signature generation for windows-pe and elf malware detection</t>
  </si>
  <si>
    <t xml:space="preserve">2026-04-23</t>
  </si>
  <si>
    <t xml:space="preserve">US20260111547</t>
  </si>
  <si>
    <t xml:space="preserve">Identification of .net malware with "unmanaged imphash"</t>
  </si>
  <si>
    <t xml:space="preserve">US20260111548</t>
  </si>
  <si>
    <t xml:space="preserve">Cybersecurity Detection Grouping</t>
  </si>
  <si>
    <t xml:space="preserve">US20260111742</t>
  </si>
  <si>
    <t xml:space="preserve">Finding semantically related security information</t>
  </si>
  <si>
    <t xml:space="preserve">US20260113323</t>
  </si>
  <si>
    <t xml:space="preserve">Directory Service Recommender Assessment &amp; Scoring</t>
  </si>
  <si>
    <t xml:space="preserve">US20260113348</t>
  </si>
  <si>
    <t xml:space="preserve">Plug-in generation for security testing tools using large language models</t>
  </si>
  <si>
    <t xml:space="preserve">US20260113352</t>
  </si>
  <si>
    <t xml:space="preserve">Cybersecurity threat network traffic generation with large language models</t>
  </si>
  <si>
    <t xml:space="preserve">US20260113354</t>
  </si>
  <si>
    <t xml:space="preserve">Malware process injection detection</t>
  </si>
  <si>
    <t xml:space="preserve">WO2026084330A1</t>
  </si>
  <si>
    <t xml:space="preserve">Method and device for establishing session for using network slice</t>
  </si>
  <si>
    <t xml:space="preserve">BR102024021364A2</t>
  </si>
  <si>
    <t xml:space="preserve">A method and system for providing a user with a level of access to access at least one service on a computing device, and computer-readable storage medium.</t>
  </si>
  <si>
    <t xml:space="preserve">2026-04-22</t>
  </si>
  <si>
    <t xml:space="preserve">BR</t>
  </si>
  <si>
    <t xml:space="preserve">SAMSUNG ELTNC DA AMAZONIA LTDA</t>
  </si>
  <si>
    <t xml:space="preserve">EP4730708A1</t>
  </si>
  <si>
    <t xml:space="preserve">Machine speed attack defense</t>
  </si>
  <si>
    <t xml:space="preserve">CN121901735A</t>
  </si>
  <si>
    <t xml:space="preserve">Method, device, equipment and storage medium for recovering few-sample illegal fraud</t>
  </si>
  <si>
    <t xml:space="preserve">2026-04-21</t>
  </si>
  <si>
    <t xml:space="preserve">Ping An</t>
  </si>
  <si>
    <t xml:space="preserve">PING AN TECH SHENZHEN CO LTD</t>
  </si>
  <si>
    <t xml:space="preserve">US12609946</t>
  </si>
  <si>
    <t xml:space="preserve">Inline exploit detection via loose condition forwarding and cloud analysis</t>
  </si>
  <si>
    <t xml:space="preserve">US12609960</t>
  </si>
  <si>
    <t xml:space="preserve">Entity maliciousness analysis using autonomous artificial intelligence agents</t>
  </si>
  <si>
    <t xml:space="preserve">US12609962</t>
  </si>
  <si>
    <t xml:space="preserve">Deep learning for malicious URL classification (URLC) with the innocent until proven guilty (IUPG) learning framework</t>
  </si>
  <si>
    <t xml:space="preserve">US20260105163</t>
  </si>
  <si>
    <t xml:space="preserve">Method to establish ground truth and labeling techniques through signal aggregation</t>
  </si>
  <si>
    <t xml:space="preserve">2026-04-16</t>
  </si>
  <si>
    <t xml:space="preserve">Okta</t>
  </si>
  <si>
    <t xml:space="preserve">OKTA INC</t>
  </si>
  <si>
    <t xml:space="preserve">US20260106884</t>
  </si>
  <si>
    <t xml:space="preserve">Combined real-time and batch threat detection</t>
  </si>
  <si>
    <t xml:space="preserve">US20260106885</t>
  </si>
  <si>
    <t xml:space="preserve">Inline vulnerability detection for program code generated by a language model</t>
  </si>
  <si>
    <t xml:space="preserve">US20260106886</t>
  </si>
  <si>
    <t xml:space="preserve">Cve labeling for exploits using proof-of-concept and llm</t>
  </si>
  <si>
    <t xml:space="preserve">US20260106903</t>
  </si>
  <si>
    <t xml:space="preserve">Cyber twin of ngfw for security posture management</t>
  </si>
  <si>
    <t xml:space="preserve">WO2026077724A1</t>
  </si>
  <si>
    <t xml:space="preserve">Dynamic threat intelligence model to handle network attacks</t>
  </si>
  <si>
    <t xml:space="preserve">IBM UK LTD</t>
  </si>
  <si>
    <t xml:space="preserve">EP4221081B1</t>
  </si>
  <si>
    <t xml:space="preserve">Detecting behavioral change of iot devices using novelty detection based behavior traffic modeling</t>
  </si>
  <si>
    <t xml:space="preserve">2026-04-15</t>
  </si>
  <si>
    <t xml:space="preserve">US12603900</t>
  </si>
  <si>
    <t xml:space="preserve">Fully automated pen testing with security policy correction using generative LLM</t>
  </si>
  <si>
    <t xml:space="preserve">2026-04-14</t>
  </si>
  <si>
    <t xml:space="preserve">CN121844314A</t>
  </si>
  <si>
    <t xml:space="preserve">Generating sequence processing model for network security</t>
  </si>
  <si>
    <t xml:space="preserve">2026-04-10</t>
  </si>
  <si>
    <t xml:space="preserve">US20260100959</t>
  </si>
  <si>
    <t xml:space="preserve">Security action based on communication-based analysis</t>
  </si>
  <si>
    <t xml:space="preserve">2026-04-09</t>
  </si>
  <si>
    <t xml:space="preserve">EP4720893A1</t>
  </si>
  <si>
    <t xml:space="preserve">Unpacking software via auto-unpacker interception</t>
  </si>
  <si>
    <t xml:space="preserve">2026-04-08</t>
  </si>
  <si>
    <t xml:space="preserve">EP4720903A1</t>
  </si>
  <si>
    <t xml:space="preserve">Code-change based prompt for code repair</t>
  </si>
  <si>
    <t xml:space="preserve">EP4721339A1</t>
  </si>
  <si>
    <t xml:space="preserve">Secure cross-tenant access</t>
  </si>
  <si>
    <t xml:space="preserve">EP3462747B1</t>
  </si>
  <si>
    <t xml:space="preserve">Security device for providing security function for image, camera device including the same, and system on chip for controlling the camera device</t>
  </si>
  <si>
    <t xml:space="preserve">US20260093744</t>
  </si>
  <si>
    <t xml:space="preserve">Systems and methods for neural network safety moderators</t>
  </si>
  <si>
    <t xml:space="preserve">2026-04-02</t>
  </si>
  <si>
    <t xml:space="preserve">US20260095448</t>
  </si>
  <si>
    <t xml:space="preserve">Granularity least privilege access mechanisms</t>
  </si>
  <si>
    <t xml:space="preserve">US20260095470</t>
  </si>
  <si>
    <t xml:space="preserve">Cybersecurity Breach Prediction</t>
  </si>
  <si>
    <t xml:space="preserve">WO2026072273A1</t>
  </si>
  <si>
    <t xml:space="preserve">Advanced inline detection for real-time identification of lateral movement</t>
  </si>
  <si>
    <t xml:space="preserve">EP4200733B1</t>
  </si>
  <si>
    <t xml:space="preserve">Detecting vehicle malfunctions and cyber attacks using machine learning</t>
  </si>
  <si>
    <t xml:space="preserve">2026-04-01</t>
  </si>
  <si>
    <t xml:space="preserve">RED BEND LTD</t>
  </si>
  <si>
    <t xml:space="preserve">EP4278563B1</t>
  </si>
  <si>
    <t xml:space="preserve">Ordering security incidents using alert diversity</t>
  </si>
  <si>
    <t xml:space="preserve">EP4348932B1</t>
  </si>
  <si>
    <t xml:space="preserve">Threat detection using cloud resource management logs</t>
  </si>
  <si>
    <t xml:space="preserve">US12592902</t>
  </si>
  <si>
    <t xml:space="preserve">Context-based sensitive message detection</t>
  </si>
  <si>
    <t xml:space="preserve">2026-03-31</t>
  </si>
  <si>
    <t xml:space="preserve">US12592948</t>
  </si>
  <si>
    <t xml:space="preserve">Cross protocol malware traffic detection using a two-layer ML architecture</t>
  </si>
  <si>
    <t xml:space="preserve">CN116438524B</t>
  </si>
  <si>
    <t xml:space="preserve">Anomaly detection using embedded spatial representation of system state</t>
  </si>
  <si>
    <t xml:space="preserve">2026-03-27</t>
  </si>
  <si>
    <t xml:space="preserve">US20260087131</t>
  </si>
  <si>
    <t xml:space="preserve">Large language model generated endpoint detection and response system</t>
  </si>
  <si>
    <t xml:space="preserve">2026-03-26</t>
  </si>
  <si>
    <t xml:space="preserve">US20260087141</t>
  </si>
  <si>
    <t xml:space="preserve">Preventing resource breaches in a cloud computing system caused by new code-based infrastructures using preventative pattern-based analysis</t>
  </si>
  <si>
    <t xml:space="preserve">US20260089135</t>
  </si>
  <si>
    <t xml:space="preserve">Adns telemetry</t>
  </si>
  <si>
    <t xml:space="preserve">US20260089177</t>
  </si>
  <si>
    <t xml:space="preserve">Prediction of False Positive Cybersecurity Detections</t>
  </si>
  <si>
    <t xml:space="preserve">US20260089178</t>
  </si>
  <si>
    <t xml:space="preserve">Inline detect and block relayed dns tunneling traffic</t>
  </si>
  <si>
    <t xml:space="preserve">US20260089180</t>
  </si>
  <si>
    <t xml:space="preserve">Explicit proxy inline security</t>
  </si>
  <si>
    <t xml:space="preserve">US20260089190</t>
  </si>
  <si>
    <t xml:space="preserve">Defending large generative models from prompt injection attacks</t>
  </si>
  <si>
    <t xml:space="preserve">WO2026064010A1</t>
  </si>
  <si>
    <t xml:space="preserve">Secure key utilization in a distributed hardware security module</t>
  </si>
  <si>
    <t xml:space="preserve">EP4713811A1</t>
  </si>
  <si>
    <t xml:space="preserve">Security risk management engine in a security management system</t>
  </si>
  <si>
    <t xml:space="preserve">2026-03-25</t>
  </si>
  <si>
    <t xml:space="preserve">EP4713815A1</t>
  </si>
  <si>
    <t xml:space="preserve">Pluggable data taxonomy and processing</t>
  </si>
  <si>
    <t xml:space="preserve">US12585786</t>
  </si>
  <si>
    <t xml:space="preserve">Authentication of device configurations for authenticated devices</t>
  </si>
  <si>
    <t xml:space="preserve">2026-03-24</t>
  </si>
  <si>
    <t xml:space="preserve">US20260080068</t>
  </si>
  <si>
    <t xml:space="preserve">Threat actor infrastructure profiling using a graph and reputation propagation</t>
  </si>
  <si>
    <t xml:space="preserve">2026-03-19</t>
  </si>
  <si>
    <t xml:space="preserve">US20260080081</t>
  </si>
  <si>
    <t xml:space="preserve">Sensitive data detection</t>
  </si>
  <si>
    <t xml:space="preserve">US20260081924</t>
  </si>
  <si>
    <t xml:space="preserve">Ensuring high security level for accessing network resources</t>
  </si>
  <si>
    <t xml:space="preserve">US20260081942</t>
  </si>
  <si>
    <t xml:space="preserve">Agile network session monitoring and enforcement</t>
  </si>
  <si>
    <t xml:space="preserve">US20260081957</t>
  </si>
  <si>
    <t xml:space="preserve">Ai-driven remediation for cloud resource misconfigurations</t>
  </si>
  <si>
    <t xml:space="preserve">EP4710507A1</t>
  </si>
  <si>
    <t xml:space="preserve">Malicious service provider activity detection</t>
  </si>
  <si>
    <t xml:space="preserve">2026-03-18</t>
  </si>
  <si>
    <t xml:space="preserve">US12579282</t>
  </si>
  <si>
    <t xml:space="preserve">2026-03-17</t>
  </si>
  <si>
    <t xml:space="preserve">US12580941</t>
  </si>
  <si>
    <t xml:space="preserve">Risk evaluation for a vulnerability assessment system on a data communication network from a collection of threats</t>
  </si>
  <si>
    <t xml:space="preserve">US12580959</t>
  </si>
  <si>
    <t xml:space="preserve">Counter adversary large language models</t>
  </si>
  <si>
    <t xml:space="preserve">IN583210B</t>
  </si>
  <si>
    <t xml:space="preserve">Automatic detection of illicit lateral movement</t>
  </si>
  <si>
    <t xml:space="preserve">2026-03-13</t>
  </si>
  <si>
    <t xml:space="preserve">IN</t>
  </si>
  <si>
    <t xml:space="preserve">US20260073047</t>
  </si>
  <si>
    <t xml:space="preserve">Trend-based malicious activity detection for network-based computing systems</t>
  </si>
  <si>
    <t xml:space="preserve">2026-03-12</t>
  </si>
  <si>
    <t xml:space="preserve">EP4523111B1</t>
  </si>
  <si>
    <t xml:space="preserve">Detection of malicious activity</t>
  </si>
  <si>
    <t xml:space="preserve">2026-03-11</t>
  </si>
  <si>
    <t xml:space="preserve">US20260065060</t>
  </si>
  <si>
    <t xml:space="preserve">False positive sensitive training of neural networks for malicious prompt classification</t>
  </si>
  <si>
    <t xml:space="preserve">2026-03-05</t>
  </si>
  <si>
    <t xml:space="preserve">US20260067308</t>
  </si>
  <si>
    <t xml:space="preserve">Assisting cybersecurity investigations using large language models</t>
  </si>
  <si>
    <t xml:space="preserve">US20260067315</t>
  </si>
  <si>
    <t xml:space="preserve">Machine learning based alert priority scoring based on customer alert resolution behavior</t>
  </si>
  <si>
    <t xml:space="preserve">US20260067316</t>
  </si>
  <si>
    <t xml:space="preserve">Vulnerability detection and definition using a large language model</t>
  </si>
  <si>
    <t xml:space="preserve">US20260067326</t>
  </si>
  <si>
    <t xml:space="preserve">Adaptive incident prioritization engine in a security management system</t>
  </si>
  <si>
    <t xml:space="preserve">EP4702489A1</t>
  </si>
  <si>
    <t xml:space="preserve">Dynamic security service extension based on software bill of materials</t>
  </si>
  <si>
    <t xml:space="preserve">2026-03-04</t>
  </si>
  <si>
    <t xml:space="preserve">EP4702701A1</t>
  </si>
  <si>
    <t xml:space="preserve">Cross-product alert risk score assigner for extended detection and response (xdr) systems</t>
  </si>
  <si>
    <t xml:space="preserve">EP4702704A1</t>
  </si>
  <si>
    <t xml:space="preserve">Automated threat response in extended detection and response (xdr) systems</t>
  </si>
  <si>
    <t xml:space="preserve">US12566875</t>
  </si>
  <si>
    <t xml:space="preserve">Adversarial attacks common interface</t>
  </si>
  <si>
    <t xml:space="preserve">2026-03-03</t>
  </si>
  <si>
    <t xml:space="preserve">US12568086</t>
  </si>
  <si>
    <t xml:space="preserve">Automatic security coverage expansion of cloud security posture management (CSPM) assets</t>
  </si>
  <si>
    <t xml:space="preserve">US20260057070</t>
  </si>
  <si>
    <t xml:space="preserve">Embedding based machine learning model to detect malicious content</t>
  </si>
  <si>
    <t xml:space="preserve">2026-02-26</t>
  </si>
  <si>
    <t xml:space="preserve">US20260057089</t>
  </si>
  <si>
    <t xml:space="preserve">Modular cybersecurity engine in a data intelligence system</t>
  </si>
  <si>
    <t xml:space="preserve">US20260058970</t>
  </si>
  <si>
    <t xml:space="preserve">Disruptor validation engine(s) for assessing the quality of disruptors</t>
  </si>
  <si>
    <t xml:space="preserve">US20260058973</t>
  </si>
  <si>
    <t xml:space="preserve">Detecting scanning and attacking uniform resource locators in network traffic</t>
  </si>
  <si>
    <t xml:space="preserve">US20260058979</t>
  </si>
  <si>
    <t xml:space="preserve">Proactive mitigation of dormant attack paths</t>
  </si>
  <si>
    <t xml:space="preserve">US12561430</t>
  </si>
  <si>
    <t xml:space="preserve">Blocking of exfiltration events via browser extensions</t>
  </si>
  <si>
    <t xml:space="preserve">2026-02-24</t>
  </si>
  <si>
    <t xml:space="preserve">US12563055</t>
  </si>
  <si>
    <t xml:space="preserve">Event correlation determination in extended detection and response systems</t>
  </si>
  <si>
    <t xml:space="preserve">US20260050597</t>
  </si>
  <si>
    <t xml:space="preserve">Interactive search in security analytics platform</t>
  </si>
  <si>
    <t xml:space="preserve">2026-02-19</t>
  </si>
  <si>
    <t xml:space="preserve">US20260050666</t>
  </si>
  <si>
    <t xml:space="preserve">System and Method for Heterogeneous Transferred Learning for Enhanced Cybersecurity Threat Detection</t>
  </si>
  <si>
    <t xml:space="preserve">US20260050774</t>
  </si>
  <si>
    <t xml:space="preserve">Ground truth determination for network detections on text-based protocols by llm</t>
  </si>
  <si>
    <t xml:space="preserve">US20260052145</t>
  </si>
  <si>
    <t xml:space="preserve">Trusted identification verification system</t>
  </si>
  <si>
    <t xml:space="preserve">WO2026039471A1</t>
  </si>
  <si>
    <t xml:space="preserve">Scalable federated distributed security analytics</t>
  </si>
  <si>
    <t xml:space="preserve">EP4455915B1</t>
  </si>
  <si>
    <t xml:space="preserve">Method and apparatus for malicious file extension detection</t>
  </si>
  <si>
    <t xml:space="preserve">2026-02-18</t>
  </si>
  <si>
    <t xml:space="preserve">US12554526</t>
  </si>
  <si>
    <t xml:space="preserve">Register caching for efficient virtual machine introspection</t>
  </si>
  <si>
    <t xml:space="preserve">2026-02-17</t>
  </si>
  <si>
    <t xml:space="preserve">US12554837</t>
  </si>
  <si>
    <t xml:space="preserve">Application security context from traces and snapshots</t>
  </si>
  <si>
    <t xml:space="preserve">US12554999</t>
  </si>
  <si>
    <t xml:space="preserve">Inline validation of machine learning models</t>
  </si>
  <si>
    <t xml:space="preserve">CN121532767A</t>
  </si>
  <si>
    <t xml:space="preserve">Cross-tenant access focus</t>
  </si>
  <si>
    <t xml:space="preserve">2026-02-13</t>
  </si>
  <si>
    <t xml:space="preserve">IN202411059440A</t>
  </si>
  <si>
    <t xml:space="preserve">Method and system for detecting a scam interaction at a user device</t>
  </si>
  <si>
    <t xml:space="preserve">US20260044424</t>
  </si>
  <si>
    <t xml:space="preserve">Automatic creation of internet-of-things device descriptors</t>
  </si>
  <si>
    <t xml:space="preserve">2026-02-12</t>
  </si>
  <si>
    <t xml:space="preserve">US20260044568</t>
  </si>
  <si>
    <t xml:space="preserve">Automated machine learning-based detection of correct implementations for configuration settings of software-as-a-service applications</t>
  </si>
  <si>
    <t xml:space="preserve">US20260046300</t>
  </si>
  <si>
    <t xml:space="preserve">Network Controller Policy Enforcement in Enterprise Networks</t>
  </si>
  <si>
    <t xml:space="preserve">US20260046301</t>
  </si>
  <si>
    <t xml:space="preserve">Provable remote attestation of computing assets using sboms</t>
  </si>
  <si>
    <t xml:space="preserve">US20260046318</t>
  </si>
  <si>
    <t xml:space="preserve">Intent-based policy configuration using natural language</t>
  </si>
  <si>
    <t xml:space="preserve">EP4690683A1</t>
  </si>
  <si>
    <t xml:space="preserve">Method and apparatus for providing security analysis service in communication system</t>
  </si>
  <si>
    <t xml:space="preserve">2026-02-11</t>
  </si>
  <si>
    <t xml:space="preserve">US12547727</t>
  </si>
  <si>
    <t xml:space="preserve">Security framework matrix visualizations for notable events</t>
  </si>
  <si>
    <t xml:space="preserve">2026-02-10</t>
  </si>
  <si>
    <t xml:space="preserve">US12549538</t>
  </si>
  <si>
    <t xml:space="preserve">Native agentless efficient queries</t>
  </si>
  <si>
    <t xml:space="preserve">US12549590</t>
  </si>
  <si>
    <t xml:space="preserve">CPE prediction using banner-prompted AI/ML modeling</t>
  </si>
  <si>
    <t xml:space="preserve">US20260037620</t>
  </si>
  <si>
    <t xml:space="preserve">Systems and Methods for Labeling Event Data Obtained from a Computing Environment Using Artificial Intelligence</t>
  </si>
  <si>
    <t xml:space="preserve">2026-02-05</t>
  </si>
  <si>
    <t xml:space="preserve">US20260037638</t>
  </si>
  <si>
    <t xml:space="preserve">Automatic construction of attack graphs using large language models</t>
  </si>
  <si>
    <t xml:space="preserve">US20260038258</t>
  </si>
  <si>
    <t xml:space="preserve">Automatic website input detection</t>
  </si>
  <si>
    <t xml:space="preserve">US20260039658</t>
  </si>
  <si>
    <t xml:space="preserve">Endpoint client application authentication and access control on zero-trust networks</t>
  </si>
  <si>
    <t xml:space="preserve">US20260039681</t>
  </si>
  <si>
    <t xml:space="preserve">Methods to detect dns hijacking</t>
  </si>
  <si>
    <t xml:space="preserve">US20260039686</t>
  </si>
  <si>
    <t xml:space="preserve">Malware classification and attribution through server fingerprinting using server certificate data</t>
  </si>
  <si>
    <t xml:space="preserve">US20260039698</t>
  </si>
  <si>
    <t xml:space="preserve">Security posture generation using an artificial intelligence (ai) model</t>
  </si>
  <si>
    <t xml:space="preserve">US12541602</t>
  </si>
  <si>
    <t xml:space="preserve">Machine learned malicious predictions</t>
  </si>
  <si>
    <t xml:space="preserve">2026-02-03</t>
  </si>
  <si>
    <t xml:space="preserve">US20260030347</t>
  </si>
  <si>
    <t xml:space="preserve">Systems And Methods For Scalable Machine-Learning Deployment In Anomaly Detection</t>
  </si>
  <si>
    <t xml:space="preserve">2026-01-29</t>
  </si>
  <si>
    <t xml:space="preserve">US20260030558</t>
  </si>
  <si>
    <t xml:space="preserve">Incremental learning of a gradient boosted decision tree model for malicious file detection</t>
  </si>
  <si>
    <t xml:space="preserve">PALO ALTO NETWORKS ISRAEL ANALYTICS LTD</t>
  </si>
  <si>
    <t xml:space="preserve">US20260032140</t>
  </si>
  <si>
    <t xml:space="preserve">Command line obfuscation detection techniques</t>
  </si>
  <si>
    <t xml:space="preserve">EP4684330A1</t>
  </si>
  <si>
    <t xml:space="preserve">Machine learning based threat hunting</t>
  </si>
  <si>
    <t xml:space="preserve">2026-01-28</t>
  </si>
  <si>
    <t xml:space="preserve">US12537861</t>
  </si>
  <si>
    <t xml:space="preserve">LLM powered security product facade</t>
  </si>
  <si>
    <t xml:space="preserve">2026-01-27</t>
  </si>
  <si>
    <t xml:space="preserve">US20260023793</t>
  </si>
  <si>
    <t xml:space="preserve">Generating structured representations of aggregated cybersecurity issues</t>
  </si>
  <si>
    <t xml:space="preserve">2026-01-22</t>
  </si>
  <si>
    <t xml:space="preserve">US20260023844</t>
  </si>
  <si>
    <t xml:space="preserve">Malicious actor model training using threat intelligence recommendations</t>
  </si>
  <si>
    <t xml:space="preserve">US20260025398</t>
  </si>
  <si>
    <t xml:space="preserve">Malware activity detection for networked computing systems</t>
  </si>
  <si>
    <t xml:space="preserve">US20260025411</t>
  </si>
  <si>
    <t xml:space="preserve">Llm technology for voice and text network deceptions</t>
  </si>
  <si>
    <t xml:space="preserve">US20260017359</t>
  </si>
  <si>
    <t xml:space="preserve">User and entity behavioral analytics in security analytics platform</t>
  </si>
  <si>
    <t xml:space="preserve">2026-01-15</t>
  </si>
  <si>
    <t xml:space="preserve">US20260017367</t>
  </si>
  <si>
    <t xml:space="preserve">Systems and methods for artificial intelligence-based cybersecurity threat intelligence</t>
  </si>
  <si>
    <t xml:space="preserve">US20260017369</t>
  </si>
  <si>
    <t xml:space="preserve">Geographically diversified embedding-based guided response to a security alert</t>
  </si>
  <si>
    <t xml:space="preserve">EP4679774A1</t>
  </si>
  <si>
    <t xml:space="preserve">Inline detection of encrypted malicious network sessions</t>
  </si>
  <si>
    <t xml:space="preserve">2026-01-14</t>
  </si>
  <si>
    <t xml:space="preserve">US12526304</t>
  </si>
  <si>
    <t xml:space="preserve">Adaptive protection mechanisms loop</t>
  </si>
  <si>
    <t xml:space="preserve">2026-01-13</t>
  </si>
  <si>
    <t xml:space="preserve">US12526317</t>
  </si>
  <si>
    <t xml:space="preserve">Enabling anomaly action rules in a network</t>
  </si>
  <si>
    <t xml:space="preserve">US12518012</t>
  </si>
  <si>
    <t xml:space="preserve">Structure-aware neural networks for malware detection</t>
  </si>
  <si>
    <t xml:space="preserve">2026-01-06</t>
  </si>
  <si>
    <t xml:space="preserve">US12519822</t>
  </si>
  <si>
    <t xml:space="preserve">Domain name system data exfiltration detection using machine learning techniques</t>
  </si>
  <si>
    <t xml:space="preserve">US20260003596</t>
  </si>
  <si>
    <t xml:space="preserve">Patch complexity classification</t>
  </si>
  <si>
    <t xml:space="preserve">2026-01-01</t>
  </si>
  <si>
    <t xml:space="preserve">US20260003956</t>
  </si>
  <si>
    <t xml:space="preserve">Determining and mitigating artificial intelligence model vulnerabilities</t>
  </si>
  <si>
    <t xml:space="preserve">US20260006039</t>
  </si>
  <si>
    <t xml:space="preserve">Automatic incident identification, investigation, and next-step prediction</t>
  </si>
  <si>
    <t xml:space="preserve">US20260006047</t>
  </si>
  <si>
    <t xml:space="preserve">Ai-based entity maliciousness analysis using embedding and sampling</t>
  </si>
  <si>
    <t xml:space="preserve">US20260006052</t>
  </si>
  <si>
    <t xml:space="preserve">Protected training of private adapter models for a hosted foundation model</t>
  </si>
  <si>
    <t xml:space="preserve">US20260006053</t>
  </si>
  <si>
    <t xml:space="preserve">Ai-based malicious activity detection using a threat actor profile</t>
  </si>
  <si>
    <t xml:space="preserve">US20260006074</t>
  </si>
  <si>
    <t xml:space="preserve">Proactively discovering malicious domains through guided crawling of attack infrastructure</t>
  </si>
  <si>
    <t xml:space="preserve">US12511382</t>
  </si>
  <si>
    <t xml:space="preserve">Performing a security action based on a suspicious cross authorization event</t>
  </si>
  <si>
    <t xml:space="preserve">2025-12-30</t>
  </si>
  <si>
    <t xml:space="preserve">US12511395</t>
  </si>
  <si>
    <t xml:space="preserve">Automated security, orchestration, automation, and response (SOAR) service app management</t>
  </si>
  <si>
    <t xml:space="preserve">US12513190</t>
  </si>
  <si>
    <t xml:space="preserve">Snapshot for activity detection and threat analysis</t>
  </si>
  <si>
    <t xml:space="preserve">US20250390574</t>
  </si>
  <si>
    <t xml:space="preserve">Enhanced data pruning strategy for malware detection models</t>
  </si>
  <si>
    <t xml:space="preserve">2025-12-25</t>
  </si>
  <si>
    <t xml:space="preserve">US20250392605</t>
  </si>
  <si>
    <t xml:space="preserve">Inline detection of prompt induced generative ai application data leakage</t>
  </si>
  <si>
    <t xml:space="preserve">US20250392610</t>
  </si>
  <si>
    <t xml:space="preserve">Cybersecurity vulnerability detection with artificial intelligence models</t>
  </si>
  <si>
    <t xml:space="preserve">US20250392629</t>
  </si>
  <si>
    <t xml:space="preserve">Real time coaching and prevention of human-centric security vulnerabilities</t>
  </si>
  <si>
    <t xml:space="preserve">US12505126</t>
  </si>
  <si>
    <t xml:space="preserve">Pod communication alerting</t>
  </si>
  <si>
    <t xml:space="preserve">2025-12-23</t>
  </si>
  <si>
    <t xml:space="preserve">US12505210</t>
  </si>
  <si>
    <t xml:space="preserve">Gamification through threat hunt packs and/or threat hunting functions</t>
  </si>
  <si>
    <t xml:space="preserve">US12506796</t>
  </si>
  <si>
    <t xml:space="preserve">Suffix proxied web application collaboration</t>
  </si>
  <si>
    <t xml:space="preserve">US20250384129</t>
  </si>
  <si>
    <t xml:space="preserve">Semi-supervised malware classification using representation-agnostic transformer models</t>
  </si>
  <si>
    <t xml:space="preserve">2025-12-18</t>
  </si>
  <si>
    <t xml:space="preserve">US20250384130</t>
  </si>
  <si>
    <t xml:space="preserve">Representation-agnostic file classifier</t>
  </si>
  <si>
    <t xml:space="preserve">EP4662574A1</t>
  </si>
  <si>
    <t xml:space="preserve">Security finding categories-based prioritization</t>
  </si>
  <si>
    <t xml:space="preserve">2025-12-17</t>
  </si>
  <si>
    <t xml:space="preserve">EP4662575A1</t>
  </si>
  <si>
    <t xml:space="preserve">Snapshot phishing detection and threat analysis</t>
  </si>
  <si>
    <t xml:space="preserve">US12499221</t>
  </si>
  <si>
    <t xml:space="preserve">Systems and methods for generating attack tactic probabilities for historical text documents</t>
  </si>
  <si>
    <t xml:space="preserve">2025-12-16</t>
  </si>
  <si>
    <t xml:space="preserve">US20250377869</t>
  </si>
  <si>
    <t xml:space="preserve">Data-driven playbook generation</t>
  </si>
  <si>
    <t xml:space="preserve">2025-12-11</t>
  </si>
  <si>
    <t xml:space="preserve">US20250377948</t>
  </si>
  <si>
    <t xml:space="preserve">Messaging procedure at edge device for delivery of data to intake system</t>
  </si>
  <si>
    <t xml:space="preserve">US20250379811</t>
  </si>
  <si>
    <t xml:space="preserve">Multi-cloud site-site secure connectivity as a service</t>
  </si>
  <si>
    <t xml:space="preserve">US20250379881</t>
  </si>
  <si>
    <t xml:space="preserve">Systems And Methods For Reducing False Positives In Cybersecurity Analytics Results</t>
  </si>
  <si>
    <t xml:space="preserve">EP4196895B1</t>
  </si>
  <si>
    <t xml:space="preserve">Secure neighborhoods assessment in enterprise networks</t>
  </si>
  <si>
    <t xml:space="preserve">2025-12-10</t>
  </si>
  <si>
    <t xml:space="preserve">EP4315116B1</t>
  </si>
  <si>
    <t xml:space="preserve">Verifying trust postures of heterogeneous confidential computing clusters</t>
  </si>
  <si>
    <t xml:space="preserve">IN202441041956A</t>
  </si>
  <si>
    <t xml:space="preserve">Systems and methods for preventing an attack in an electronic device</t>
  </si>
  <si>
    <t xml:space="preserve">2025-12-05</t>
  </si>
  <si>
    <t xml:space="preserve">US20250370603</t>
  </si>
  <si>
    <t xml:space="preserve">Complex action parameter support in a visual playbook editor</t>
  </si>
  <si>
    <t xml:space="preserve">2025-12-04</t>
  </si>
  <si>
    <t xml:space="preserve">US20250371138</t>
  </si>
  <si>
    <t xml:space="preserve">Automated ai model-based pipeline for detection explainability</t>
  </si>
  <si>
    <t xml:space="preserve">US20250371145</t>
  </si>
  <si>
    <t xml:space="preserve">Adaptive Incident Prioritization Based on User Feedback</t>
  </si>
  <si>
    <t xml:space="preserve">US20250371168</t>
  </si>
  <si>
    <t xml:space="preserve">Cloud-agnostic code analysis</t>
  </si>
  <si>
    <t xml:space="preserve">US20250373628</t>
  </si>
  <si>
    <t xml:space="preserve">Responding to security incidents using language models</t>
  </si>
  <si>
    <t xml:space="preserve">US20250373630</t>
  </si>
  <si>
    <t xml:space="preserve">Correlating various artifacts to provide enhanced alerting</t>
  </si>
  <si>
    <t xml:space="preserve">US20250373642</t>
  </si>
  <si>
    <t xml:space="preserve">Cybersecurity Command Line Assessment</t>
  </si>
  <si>
    <t xml:space="preserve">US20250373644</t>
  </si>
  <si>
    <t xml:space="preserve">Ai-enabled device ownership identification for securing nationwide critical infrastructure systems</t>
  </si>
  <si>
    <t xml:space="preserve">US20250373645</t>
  </si>
  <si>
    <t xml:space="preserve">Security graph for monitoring a compute environment</t>
  </si>
  <si>
    <t xml:space="preserve">CN121037082A</t>
  </si>
  <si>
    <t xml:space="preserve">Multi-source security event access control method, device, equipment and medium</t>
  </si>
  <si>
    <t xml:space="preserve">2025-11-28</t>
  </si>
  <si>
    <t xml:space="preserve">CN121037192A</t>
  </si>
  <si>
    <t xml:space="preserve">Alarm information processing method and device based on large language model, computer equipment and storage medium</t>
  </si>
  <si>
    <t xml:space="preserve">IN202547104355A</t>
  </si>
  <si>
    <t xml:space="preserve">US20250363215</t>
  </si>
  <si>
    <t xml:space="preserve">Llm technology for polymorphic generation of samples of malware for future malware detection</t>
  </si>
  <si>
    <t xml:space="preserve">2025-11-27</t>
  </si>
  <si>
    <t xml:space="preserve">US20250365294</t>
  </si>
  <si>
    <t xml:space="preserve">Method and system for analyzing cybersecurity threats and improving defensive intelligence</t>
  </si>
  <si>
    <t xml:space="preserve">Threatology Inc</t>
  </si>
  <si>
    <t xml:space="preserve">THREATOLOGY INC</t>
  </si>
  <si>
    <t xml:space="preserve">CN115033876B</t>
  </si>
  <si>
    <t xml:space="preserve">Log processing method, log processing device, computer equipment and storage medium</t>
  </si>
  <si>
    <t xml:space="preserve">2025-11-25</t>
  </si>
  <si>
    <t xml:space="preserve">PING AN LIFE INSURANCE CO OF CHINA LTD</t>
  </si>
  <si>
    <t xml:space="preserve">US20250358300</t>
  </si>
  <si>
    <t xml:space="preserve">Ml based domain risk scoring and its applications to advanced url filtering</t>
  </si>
  <si>
    <t xml:space="preserve">2025-11-20</t>
  </si>
  <si>
    <t xml:space="preserve">US20250358315</t>
  </si>
  <si>
    <t xml:space="preserve">Local detection of fraudulent websites using lightweight machine learning models</t>
  </si>
  <si>
    <t xml:space="preserve">US20250358318</t>
  </si>
  <si>
    <t xml:space="preserve">Systems and methods for machine learning assisted authorization policy recommendations</t>
  </si>
  <si>
    <t xml:space="preserve">CN120979760A</t>
  </si>
  <si>
    <t xml:space="preserve">Network threat detection method and device, storage medium and computer equipment</t>
  </si>
  <si>
    <t xml:space="preserve">2025-11-18</t>
  </si>
  <si>
    <t xml:space="preserve">PING AN PROPERTY &amp; CASUALTY INSURANCE CO OF CHINA LTD</t>
  </si>
  <si>
    <t xml:space="preserve">US12475225</t>
  </si>
  <si>
    <t xml:space="preserve">Aggressive embedding dropout in embedding-based malware detection</t>
  </si>
  <si>
    <t xml:space="preserve">US12476979</t>
  </si>
  <si>
    <t xml:space="preserve">Agentically-orchestrated foundational models for cloud security controls</t>
  </si>
  <si>
    <t xml:space="preserve">US12476993</t>
  </si>
  <si>
    <t xml:space="preserve">Detection and prevention of adversarial attacks against large language models</t>
  </si>
  <si>
    <t xml:space="preserve">KR20250160818A</t>
  </si>
  <si>
    <t xml:space="preserve">Method, apparatus, system and computer program for security processing of multi-agent system</t>
  </si>
  <si>
    <t xml:space="preserve">2025-11-14</t>
  </si>
  <si>
    <t xml:space="preserve">KR</t>
  </si>
  <si>
    <t xml:space="preserve">SAMSUNG SDS CO LTD</t>
  </si>
  <si>
    <t xml:space="preserve">US20250348566</t>
  </si>
  <si>
    <t xml:space="preserve">Application identity account compromise detection</t>
  </si>
  <si>
    <t xml:space="preserve">2025-11-13</t>
  </si>
  <si>
    <t xml:space="preserve">US20250348578</t>
  </si>
  <si>
    <t xml:space="preserve">Integrated development environment extension for developing information technology and security operations application apps</t>
  </si>
  <si>
    <t xml:space="preserve">US20250348579</t>
  </si>
  <si>
    <t xml:space="preserve">Automated Discovery of Behavioral Threat Protection Rules</t>
  </si>
  <si>
    <t xml:space="preserve">US20250348583</t>
  </si>
  <si>
    <t xml:space="preserve">Detection of indirect prompt injection attacks with malicious instructions detection models</t>
  </si>
  <si>
    <t xml:space="preserve">US20250350634</t>
  </si>
  <si>
    <t xml:space="preserve">System and Method for Surfacing Cyber-Security Threats with a Self-Learning Recommendation Engine</t>
  </si>
  <si>
    <t xml:space="preserve">GB2640831A</t>
  </si>
  <si>
    <t xml:space="preserve">Identifying a context of a user authentication</t>
  </si>
  <si>
    <t xml:space="preserve">2025-11-12</t>
  </si>
  <si>
    <t xml:space="preserve">GB</t>
  </si>
  <si>
    <t xml:space="preserve">KR20250159551A</t>
  </si>
  <si>
    <t xml:space="preserve">Method for providing security detection rule using generative artificial intelligence and apparatus thereof</t>
  </si>
  <si>
    <t xml:space="preserve">2025-11-11</t>
  </si>
  <si>
    <t xml:space="preserve">US12468785</t>
  </si>
  <si>
    <t xml:space="preserve">Detecting jailbreak attempts on generative models</t>
  </si>
  <si>
    <t xml:space="preserve">US12468809</t>
  </si>
  <si>
    <t xml:space="preserve">Applying diffusion models in adversarial purification and adversarial sample generation in cybersecurity</t>
  </si>
  <si>
    <t xml:space="preserve">WO2025230677A1</t>
  </si>
  <si>
    <t xml:space="preserve">Deep learning in a data plane</t>
  </si>
  <si>
    <t xml:space="preserve">2025-11-06</t>
  </si>
  <si>
    <t xml:space="preserve">EP4645132A1</t>
  </si>
  <si>
    <t xml:space="preserve">Machine learned contextual cybersecurity threat prioritization</t>
  </si>
  <si>
    <t xml:space="preserve">2025-11-05</t>
  </si>
  <si>
    <t xml:space="preserve">EP4147147B1</t>
  </si>
  <si>
    <t xml:space="preserve">Detection of slow brute force attacks based on user-level time series analysis</t>
  </si>
  <si>
    <t xml:space="preserve">US12461742</t>
  </si>
  <si>
    <t xml:space="preserve">Secure code clustering through LLM-based semantic analysis</t>
  </si>
  <si>
    <t xml:space="preserve">2025-11-04</t>
  </si>
  <si>
    <t xml:space="preserve">US12463979</t>
  </si>
  <si>
    <t xml:space="preserve">Adjusting behavior of an endpoint security agent based on network location</t>
  </si>
  <si>
    <t xml:space="preserve">KR102879385B1</t>
  </si>
  <si>
    <t xml:space="preserve">Data preservation technique using memory aperture flush order</t>
  </si>
  <si>
    <t xml:space="preserve">2025-10-31</t>
  </si>
  <si>
    <t xml:space="preserve">US20250335585</t>
  </si>
  <si>
    <t xml:space="preserve">Automatic identification of critical assets and protective action prioritization</t>
  </si>
  <si>
    <t xml:space="preserve">2025-10-30</t>
  </si>
  <si>
    <t xml:space="preserve">US20250337742</t>
  </si>
  <si>
    <t xml:space="preserve">Anomaly-based mitigation of access request risk</t>
  </si>
  <si>
    <t xml:space="preserve">US20250337755</t>
  </si>
  <si>
    <t xml:space="preserve">Deep learning for in-line detection of malicious command and control traffic from unstructured payloads</t>
  </si>
  <si>
    <t xml:space="preserve">US20250337760</t>
  </si>
  <si>
    <t xml:space="preserve">Network Authentication Evaluation</t>
  </si>
  <si>
    <t xml:space="preserve">US20250337780</t>
  </si>
  <si>
    <t xml:space="preserve">Detection Of Domain Names Generated By A Domain Generation Algorithm Using A Wide And Deep Learning Architecture</t>
  </si>
  <si>
    <t xml:space="preserve">EP4639844A1</t>
  </si>
  <si>
    <t xml:space="preserve">Detecting a spoofed entity based on complexity of a distribution of events initiated by the spoofed entity</t>
  </si>
  <si>
    <t xml:space="preserve">2025-10-29</t>
  </si>
  <si>
    <t xml:space="preserve">EP4413482B1</t>
  </si>
  <si>
    <t xml:space="preserve">Multitenant sharing anomaly cyberattack campaign detection</t>
  </si>
  <si>
    <t xml:space="preserve">KR20250153633A</t>
  </si>
  <si>
    <t xml:space="preserve">Method for providing security service using generative artificial intelligence and apparatus thereof</t>
  </si>
  <si>
    <t xml:space="preserve">2025-10-27</t>
  </si>
  <si>
    <t xml:space="preserve">US20250328448</t>
  </si>
  <si>
    <t xml:space="preserve">Systems and Methods For Detection Of Categorical Draft</t>
  </si>
  <si>
    <t xml:space="preserve">2025-10-23</t>
  </si>
  <si>
    <t xml:space="preserve">US20250328642</t>
  </si>
  <si>
    <t xml:space="preserve">Machine learning-based content disarm and reconstruction with web browser prefetching</t>
  </si>
  <si>
    <t xml:space="preserve">US20250330451</t>
  </si>
  <si>
    <t xml:space="preserve">Secure process execution and data management with secured storage and code injection</t>
  </si>
  <si>
    <t xml:space="preserve">US12452306</t>
  </si>
  <si>
    <t xml:space="preserve">Secure browsing</t>
  </si>
  <si>
    <t xml:space="preserve">2025-10-21</t>
  </si>
  <si>
    <t xml:space="preserve">US20250322075</t>
  </si>
  <si>
    <t xml:space="preserve">Systems and methods for identifying security threats</t>
  </si>
  <si>
    <t xml:space="preserve">2025-10-16</t>
  </si>
  <si>
    <t xml:space="preserve">US20250323933</t>
  </si>
  <si>
    <t xml:space="preserve">Generating playbook run statistics for playbooks executed by an information technology and security operations application</t>
  </si>
  <si>
    <t xml:space="preserve">US20250323939</t>
  </si>
  <si>
    <t xml:space="preserve">Network attack detection with targeted feature extraction from exploit tools</t>
  </si>
  <si>
    <t xml:space="preserve">US12443708</t>
  </si>
  <si>
    <t xml:space="preserve">Reduction of security detection false positives</t>
  </si>
  <si>
    <t xml:space="preserve">2025-10-14</t>
  </si>
  <si>
    <t xml:space="preserve">US12443719</t>
  </si>
  <si>
    <t xml:space="preserve">False positive vulnerability detection using neural transformers</t>
  </si>
  <si>
    <t xml:space="preserve">US12445476</t>
  </si>
  <si>
    <t xml:space="preserve">Deobfuscating and decloaking web-based malware with abstract execution</t>
  </si>
  <si>
    <t xml:space="preserve">US12445478</t>
  </si>
  <si>
    <t xml:space="preserve">Adaptive profiling of cloud services using machine learning for malware detection</t>
  </si>
  <si>
    <t xml:space="preserve">US20250315524</t>
  </si>
  <si>
    <t xml:space="preserve">Expert system for detecting malware in binaries</t>
  </si>
  <si>
    <t xml:space="preserve">2025-10-09</t>
  </si>
  <si>
    <t xml:space="preserve">US20250317455</t>
  </si>
  <si>
    <t xml:space="preserve">Machine-Learned Suspicious Query Detection</t>
  </si>
  <si>
    <t xml:space="preserve">US20250317457</t>
  </si>
  <si>
    <t xml:space="preserve">Edge-based packet processing for application recognition and intrusion detection</t>
  </si>
  <si>
    <t xml:space="preserve">US12438912</t>
  </si>
  <si>
    <t xml:space="preserve">Phishing URL detection using transformers</t>
  </si>
  <si>
    <t xml:space="preserve">2025-10-07</t>
  </si>
  <si>
    <t xml:space="preserve">US20250306740</t>
  </si>
  <si>
    <t xml:space="preserve">Adding device trust to generate a stronger notion of request origination</t>
  </si>
  <si>
    <t xml:space="preserve">2025-10-02</t>
  </si>
  <si>
    <t xml:space="preserve">US20250307386</t>
  </si>
  <si>
    <t xml:space="preserve">Contextual attack disruption engine in a security management system</t>
  </si>
  <si>
    <t xml:space="preserve">US20250307444</t>
  </si>
  <si>
    <t xml:space="preserve">Smart result filtration for secret scanning</t>
  </si>
  <si>
    <t xml:space="preserve">US20250307700</t>
  </si>
  <si>
    <t xml:space="preserve">Data labeling using a prevalence-driven artificial intelligence model</t>
  </si>
  <si>
    <t xml:space="preserve">US20250307712</t>
  </si>
  <si>
    <t xml:space="preserve">Large language model-based threat hypothesis generation</t>
  </si>
  <si>
    <t xml:space="preserve">US20250310093</t>
  </si>
  <si>
    <t xml:space="preserve">Blind secret management and rotation</t>
  </si>
  <si>
    <t xml:space="preserve">US20250310345</t>
  </si>
  <si>
    <t xml:space="preserve">Computing system permission administration engine</t>
  </si>
  <si>
    <t xml:space="preserve">US20250310357</t>
  </si>
  <si>
    <t xml:space="preserve">Knowledge graph representation for scalable joint threat hunting, detection, and forensics for cloud applications</t>
  </si>
  <si>
    <t xml:space="preserve">US20250310358</t>
  </si>
  <si>
    <t xml:space="preserve">Real time inference of attack presence with machine learning</t>
  </si>
  <si>
    <t xml:space="preserve">US20250310362</t>
  </si>
  <si>
    <t xml:space="preserve">Scalable domain-level sinkholing and interaction of network traffic</t>
  </si>
  <si>
    <t xml:space="preserve">US20250310371</t>
  </si>
  <si>
    <t xml:space="preserve">Identification of threats through deployment of custom threat rules and anomaly pattern detection</t>
  </si>
  <si>
    <t xml:space="preserve">EP4625259A1</t>
  </si>
  <si>
    <t xml:space="preserve">Adversarial script generation using artificial intelligence models</t>
  </si>
  <si>
    <t xml:space="preserve">2025-10-01</t>
  </si>
  <si>
    <t xml:space="preserve">US12432224</t>
  </si>
  <si>
    <t xml:space="preserve">Proactive malicious newly registered domain detection</t>
  </si>
  <si>
    <t xml:space="preserve">2025-09-30</t>
  </si>
  <si>
    <t xml:space="preserve">US20250298792</t>
  </si>
  <si>
    <t xml:space="preserve">Grammar powered retrieval augmented generation for domain specific languages</t>
  </si>
  <si>
    <t xml:space="preserve">2025-09-25</t>
  </si>
  <si>
    <t xml:space="preserve">US20250298888</t>
  </si>
  <si>
    <t xml:space="preserve">Training a model based on soft labeling</t>
  </si>
  <si>
    <t xml:space="preserve">US20250298889</t>
  </si>
  <si>
    <t xml:space="preserve">Entity risk assessment</t>
  </si>
  <si>
    <t xml:space="preserve">US20250298905</t>
  </si>
  <si>
    <t xml:space="preserve">Vulnerability remediation recommendation mechanism</t>
  </si>
  <si>
    <t xml:space="preserve">US20250291898</t>
  </si>
  <si>
    <t xml:space="preserve">Generating mitigating responses to security deficiencies using generative machine learning models</t>
  </si>
  <si>
    <t xml:space="preserve">2025-09-18</t>
  </si>
  <si>
    <t xml:space="preserve">US20250291918</t>
  </si>
  <si>
    <t xml:space="preserve">Pipeline for rewriting and validating malicious code with generative artificial intelligence</t>
  </si>
  <si>
    <t xml:space="preserve">US20250292018</t>
  </si>
  <si>
    <t xml:space="preserve">Direct prompt injection threat mitigation using prompt processing units</t>
  </si>
  <si>
    <t xml:space="preserve">US12417210</t>
  </si>
  <si>
    <t xml:space="preserve">Log data extraction from data chunks of an isolated execution environment</t>
  </si>
  <si>
    <t xml:space="preserve">2025-09-16</t>
  </si>
  <si>
    <t xml:space="preserve">WO2025188629A1</t>
  </si>
  <si>
    <t xml:space="preserve">Llm technology with human input reinforcement learning for suggesting the follow up response actions to detections and incidents</t>
  </si>
  <si>
    <t xml:space="preserve">2025-09-12</t>
  </si>
  <si>
    <t xml:space="preserve">US20250284683</t>
  </si>
  <si>
    <t xml:space="preserve">Natural language query to domain-specific database query conversion with language models</t>
  </si>
  <si>
    <t xml:space="preserve">2025-09-11</t>
  </si>
  <si>
    <t xml:space="preserve">US20250284822</t>
  </si>
  <si>
    <t xml:space="preserve">Assessment of raised security events at an application</t>
  </si>
  <si>
    <t xml:space="preserve">KR102858011B1</t>
  </si>
  <si>
    <t xml:space="preserve">Robust selective image, video, and audio content authentication</t>
  </si>
  <si>
    <t xml:space="preserve">EP4614369A1</t>
  </si>
  <si>
    <t xml:space="preserve">Autonomous threat protection engine in a security management system</t>
  </si>
  <si>
    <t xml:space="preserve">2025-09-10</t>
  </si>
  <si>
    <t xml:space="preserve">US12413491</t>
  </si>
  <si>
    <t xml:space="preserve">Threat detection of application traffic flows</t>
  </si>
  <si>
    <t xml:space="preserve">2025-09-09</t>
  </si>
  <si>
    <t xml:space="preserve">US20250280026</t>
  </si>
  <si>
    <t xml:space="preserve">Protecting serverless applications</t>
  </si>
  <si>
    <t xml:space="preserve">2025-09-04</t>
  </si>
  <si>
    <t xml:space="preserve">US20250280027</t>
  </si>
  <si>
    <t xml:space="preserve">Security rating &amp; incident risk scoring for attack surface management</t>
  </si>
  <si>
    <t xml:space="preserve">US20250274466</t>
  </si>
  <si>
    <t xml:space="preserve">Cybersecurity alert response chatbot via large language models and natural langauge alert descriptors</t>
  </si>
  <si>
    <t xml:space="preserve">2025-08-28</t>
  </si>
  <si>
    <t xml:space="preserve">WO2025178625A1</t>
  </si>
  <si>
    <t xml:space="preserve">Dynamic security for fabric networks</t>
  </si>
  <si>
    <t xml:space="preserve">EP4606059A1</t>
  </si>
  <si>
    <t xml:space="preserve">Access decision management system for digital resources</t>
  </si>
  <si>
    <t xml:space="preserve">2025-08-27</t>
  </si>
  <si>
    <t xml:space="preserve">US12401679</t>
  </si>
  <si>
    <t xml:space="preserve">AI model based cybersecurity detection prioritization for cybersecurity management systems</t>
  </si>
  <si>
    <t xml:space="preserve">2025-08-26</t>
  </si>
  <si>
    <t xml:space="preserve">US20250265346</t>
  </si>
  <si>
    <t xml:space="preserve">Software bill of materials risk assessment based on vulnerability and remediation history</t>
  </si>
  <si>
    <t xml:space="preserve">2025-08-21</t>
  </si>
  <si>
    <t xml:space="preserve">EP4602766A1</t>
  </si>
  <si>
    <t xml:space="preserve">Selectively and intelligently displaying authentication notifications to protect users</t>
  </si>
  <si>
    <t xml:space="preserve">2025-08-20</t>
  </si>
  <si>
    <t xml:space="preserve">US12393687</t>
  </si>
  <si>
    <t xml:space="preserve">Techniques for detecting command injection attacks</t>
  </si>
  <si>
    <t xml:space="preserve">2025-08-19</t>
  </si>
  <si>
    <t xml:space="preserve">EP4599349A1</t>
  </si>
  <si>
    <t xml:space="preserve">Cybersecurity insider risk management</t>
  </si>
  <si>
    <t xml:space="preserve">2025-08-13</t>
  </si>
  <si>
    <t xml:space="preserve">US12388848</t>
  </si>
  <si>
    <t xml:space="preserve">Cybersecurity detection</t>
  </si>
  <si>
    <t xml:space="preserve">2025-08-12</t>
  </si>
  <si>
    <t xml:space="preserve">US20250252095</t>
  </si>
  <si>
    <t xml:space="preserve">Artificial intelligence-based query generation for cybersecurity data search</t>
  </si>
  <si>
    <t xml:space="preserve">2025-08-07</t>
  </si>
  <si>
    <t xml:space="preserve">US20250254142</t>
  </si>
  <si>
    <t xml:space="preserve">Interworking of stun and alg</t>
  </si>
  <si>
    <t xml:space="preserve">US12380201</t>
  </si>
  <si>
    <t xml:space="preserve">Detecting sharing of passwords</t>
  </si>
  <si>
    <t xml:space="preserve">2025-08-05</t>
  </si>
  <si>
    <t xml:space="preserve">Citrix</t>
  </si>
  <si>
    <t xml:space="preserve">CITRIX SYS INC</t>
  </si>
  <si>
    <t xml:space="preserve">US12380212</t>
  </si>
  <si>
    <t xml:space="preserve">Return address validation watchdog to discover ROP chains in exploits engineering cloud delivered security services (CDSS)</t>
  </si>
  <si>
    <t xml:space="preserve">US12381902</t>
  </si>
  <si>
    <t xml:space="preserve">Pattern match-based detection in IOT security</t>
  </si>
  <si>
    <t xml:space="preserve">US20250244965</t>
  </si>
  <si>
    <t xml:space="preserve">Securing software development cycles with artificial intelligence customization</t>
  </si>
  <si>
    <t xml:space="preserve">2025-07-31</t>
  </si>
  <si>
    <t xml:space="preserve">US20250245039</t>
  </si>
  <si>
    <t xml:space="preserve">Managing user data in a multitenant deployment</t>
  </si>
  <si>
    <t xml:space="preserve">US20250245335</t>
  </si>
  <si>
    <t xml:space="preserve">Systems and methods to safely provide files and software updates with a cloud subscription service</t>
  </si>
  <si>
    <t xml:space="preserve">US20250247409</t>
  </si>
  <si>
    <t xml:space="preserve">Methods and systems for efficiently detecting and recording security anomalies</t>
  </si>
  <si>
    <t xml:space="preserve">WO2025160005A1</t>
  </si>
  <si>
    <t xml:space="preserve">Disaster recovery in workload protection solutions</t>
  </si>
  <si>
    <t xml:space="preserve">EP4591192A1</t>
  </si>
  <si>
    <t xml:space="preserve">Detecting uploads of malicious files to cloud storage</t>
  </si>
  <si>
    <t xml:space="preserve">2025-07-30</t>
  </si>
  <si>
    <t xml:space="preserve">US20250240277</t>
  </si>
  <si>
    <t xml:space="preserve">Adaptive rate limiter based on transactional heuristics and artificial intelligence</t>
  </si>
  <si>
    <t xml:space="preserve">2025-07-24</t>
  </si>
  <si>
    <t xml:space="preserve">US12368747</t>
  </si>
  <si>
    <t xml:space="preserve">Using a logical graph to monitor an environment</t>
  </si>
  <si>
    <t xml:space="preserve">2025-07-22</t>
  </si>
  <si>
    <t xml:space="preserve">WO2025151321A1</t>
  </si>
  <si>
    <t xml:space="preserve">Summarizing computer system alerts using generative machine learning models</t>
  </si>
  <si>
    <t xml:space="preserve">2025-07-17</t>
  </si>
  <si>
    <t xml:space="preserve">EP4338075B1</t>
  </si>
  <si>
    <t xml:space="preserve">Abnormally permissive role definition detection systems</t>
  </si>
  <si>
    <t xml:space="preserve">2025-07-16</t>
  </si>
  <si>
    <t xml:space="preserve">US12363135</t>
  </si>
  <si>
    <t xml:space="preserve">Enabling enhanced network security operation by leveraging context from multiple security agents</t>
  </si>
  <si>
    <t xml:space="preserve">2025-07-15</t>
  </si>
  <si>
    <t xml:space="preserve">US20250225216</t>
  </si>
  <si>
    <t xml:space="preserve">Leveraging user's experiences for secure access</t>
  </si>
  <si>
    <t xml:space="preserve">2025-07-10</t>
  </si>
  <si>
    <t xml:space="preserve">US20250225220</t>
  </si>
  <si>
    <t xml:space="preserve">Using hallucinations from generative ai for challenge-response in secure access</t>
  </si>
  <si>
    <t xml:space="preserve">US20250225221</t>
  </si>
  <si>
    <t xml:space="preserve">Classification of memorable daily events of a user for secure access</t>
  </si>
  <si>
    <t xml:space="preserve">US20250225253</t>
  </si>
  <si>
    <t xml:space="preserve">Active Vulnerability Detection for a Compute Environment</t>
  </si>
  <si>
    <t xml:space="preserve">US12355740</t>
  </si>
  <si>
    <t xml:space="preserve">Non-interfering access layer end-to-end encryption for IOT devices over a data communication network</t>
  </si>
  <si>
    <t xml:space="preserve">2025-07-08</t>
  </si>
  <si>
    <t xml:space="preserve">US20250217473</t>
  </si>
  <si>
    <t xml:space="preserve">Using large language models to generate natural language descriptions of code for enhanced threat analysis and malware detection</t>
  </si>
  <si>
    <t xml:space="preserve">2025-07-03</t>
  </si>
  <si>
    <t xml:space="preserve">US20250220020</t>
  </si>
  <si>
    <t xml:space="preserve">Service Protection for Software Agents on Protected Workloads</t>
  </si>
  <si>
    <t xml:space="preserve">US12348559</t>
  </si>
  <si>
    <t xml:space="preserve">Account classification using a trained model and sign-in data</t>
  </si>
  <si>
    <t xml:space="preserve">2025-07-01</t>
  </si>
  <si>
    <t xml:space="preserve">US20250209144</t>
  </si>
  <si>
    <t xml:space="preserve">Multiple input neural networks for detecting fraud</t>
  </si>
  <si>
    <t xml:space="preserve">2025-06-26</t>
  </si>
  <si>
    <t xml:space="preserve">US20250211596</t>
  </si>
  <si>
    <t xml:space="preserve">Endpoint security groups in private multi-access edge compute networks</t>
  </si>
  <si>
    <t xml:space="preserve">US20250211606</t>
  </si>
  <si>
    <t xml:space="preserve">Augmentation of network path visualizations with vulnerability information</t>
  </si>
  <si>
    <t xml:space="preserve">US20250211620</t>
  </si>
  <si>
    <t xml:space="preserve">US20250202925</t>
  </si>
  <si>
    <t xml:space="preserve">Providing identity protection</t>
  </si>
  <si>
    <t xml:space="preserve">2025-06-19</t>
  </si>
  <si>
    <t xml:space="preserve">US20250202940</t>
  </si>
  <si>
    <t xml:space="preserve">Cloud firewall configuration management using graph data model</t>
  </si>
  <si>
    <t xml:space="preserve">US12333020</t>
  </si>
  <si>
    <t xml:space="preserve">Systems and processes for creating software bill of materials for large distributed builds</t>
  </si>
  <si>
    <t xml:space="preserve">2025-06-17</t>
  </si>
  <si>
    <t xml:space="preserve">KR20250085566A</t>
  </si>
  <si>
    <t xml:space="preserve">Method and system for filetring work-related prompt</t>
  </si>
  <si>
    <t xml:space="preserve">2025-06-12</t>
  </si>
  <si>
    <t xml:space="preserve">US20250190292</t>
  </si>
  <si>
    <t xml:space="preserve">Multivariate time series anomaly detection</t>
  </si>
  <si>
    <t xml:space="preserve">US20250178565</t>
  </si>
  <si>
    <t xml:space="preserve">Method and apparatus for vehicular security behavioral layer</t>
  </si>
  <si>
    <t xml:space="preserve">2025-06-05</t>
  </si>
  <si>
    <t xml:space="preserve">HARMAN INTL IND INC</t>
  </si>
  <si>
    <t xml:space="preserve">US20250181836</t>
  </si>
  <si>
    <t xml:space="preserve">Systems and methods for jailbreaking black-box large language models</t>
  </si>
  <si>
    <t xml:space="preserve">Robust Intelligence Inc</t>
  </si>
  <si>
    <t xml:space="preserve">ROBUST INTELLIGENCE INC</t>
  </si>
  <si>
    <t xml:space="preserve">US20250184357</t>
  </si>
  <si>
    <t xml:space="preserve">Systems and Methods for Expanding the Security Context of AI</t>
  </si>
  <si>
    <t xml:space="preserve">US20250184360</t>
  </si>
  <si>
    <t xml:space="preserve">Performing fingerprint-based data loss prevention (dlp) using information obtained from cloud-native services</t>
  </si>
  <si>
    <t xml:space="preserve">WO2025117258A1</t>
  </si>
  <si>
    <t xml:space="preserve">First-time user experience systems and methods for workload protection solutions</t>
  </si>
  <si>
    <t xml:space="preserve">CN115053223B</t>
  </si>
  <si>
    <t xml:space="preserve">Automatic detection of illegal lateral movement</t>
  </si>
  <si>
    <t xml:space="preserve">2025-06-03</t>
  </si>
  <si>
    <t xml:space="preserve">US20250173367</t>
  </si>
  <si>
    <t xml:space="preserve">Application programming interface intent based behavior summarization</t>
  </si>
  <si>
    <t xml:space="preserve">2025-05-29</t>
  </si>
  <si>
    <t xml:space="preserve">US20250173436</t>
  </si>
  <si>
    <t xml:space="preserve">Context-based cyberattack signature generation with large language models</t>
  </si>
  <si>
    <t xml:space="preserve">EP4558912A1</t>
  </si>
  <si>
    <t xml:space="preserve">Source code vulnerability detection and repair through machine learning</t>
  </si>
  <si>
    <t xml:space="preserve">2025-05-28</t>
  </si>
  <si>
    <t xml:space="preserve">US12316642</t>
  </si>
  <si>
    <t xml:space="preserve">Systems and methods for securely managing browser plugins via embedded browser</t>
  </si>
  <si>
    <t xml:space="preserve">2025-05-27</t>
  </si>
  <si>
    <t xml:space="preserve">CN120034360A</t>
  </si>
  <si>
    <t xml:space="preserve">Monitoring method and system for network security event</t>
  </si>
  <si>
    <t xml:space="preserve">2025-05-23</t>
  </si>
  <si>
    <t xml:space="preserve">Lv Ping</t>
  </si>
  <si>
    <t xml:space="preserve">LV PING</t>
  </si>
  <si>
    <t xml:space="preserve">IN202311079351A</t>
  </si>
  <si>
    <t xml:space="preserve">System and method for authenticating an identity of a user</t>
  </si>
  <si>
    <t xml:space="preserve">US20250165598</t>
  </si>
  <si>
    <t xml:space="preserve">Malicious enterprise behavior detection tool</t>
  </si>
  <si>
    <t xml:space="preserve">2025-05-22</t>
  </si>
  <si>
    <t xml:space="preserve">US20250168181</t>
  </si>
  <si>
    <t xml:space="preserve">Multi-layer anomaly detector</t>
  </si>
  <si>
    <t xml:space="preserve">WO2025106207A1</t>
  </si>
  <si>
    <t xml:space="preserve">Attack path discovery engine in a security management system</t>
  </si>
  <si>
    <t xml:space="preserve">US12309175</t>
  </si>
  <si>
    <t xml:space="preserve">Using staged machine learning to enhance vehicles cybersecurity</t>
  </si>
  <si>
    <t xml:space="preserve">2025-05-20</t>
  </si>
  <si>
    <t xml:space="preserve">US12299119</t>
  </si>
  <si>
    <t xml:space="preserve">Event-triggered forensics capture</t>
  </si>
  <si>
    <t xml:space="preserve">2025-05-13</t>
  </si>
  <si>
    <t xml:space="preserve">US12301615</t>
  </si>
  <si>
    <t xml:space="preserve">Organization-level ransomware incrimination</t>
  </si>
  <si>
    <t xml:space="preserve">US12301621</t>
  </si>
  <si>
    <t xml:space="preserve">Inline malicious URL detection with hierarchical structure patterns</t>
  </si>
  <si>
    <t xml:space="preserve">US20250148122</t>
  </si>
  <si>
    <t xml:space="preserve">Data collection analysis for privacy risk assessment</t>
  </si>
  <si>
    <t xml:space="preserve">2025-05-08</t>
  </si>
  <si>
    <t xml:space="preserve">EP4550187A1</t>
  </si>
  <si>
    <t xml:space="preserve">Cybersecurity typing and inferencing</t>
  </si>
  <si>
    <t xml:space="preserve">2025-05-07</t>
  </si>
  <si>
    <t xml:space="preserve">US20250139245</t>
  </si>
  <si>
    <t xml:space="preserve">Detection of anomalies associated with interfering processes</t>
  </si>
  <si>
    <t xml:space="preserve">2025-05-01</t>
  </si>
  <si>
    <t xml:space="preserve">US20250139251</t>
  </si>
  <si>
    <t xml:space="preserve">Secure code analysis copilot</t>
  </si>
  <si>
    <t xml:space="preserve">US20250141933</t>
  </si>
  <si>
    <t xml:space="preserve">WO2025089797A1</t>
  </si>
  <si>
    <t xml:space="preserve">Systems and methods for protecting privacy of the subscriber permanent identity</t>
  </si>
  <si>
    <t xml:space="preserve">US12289295</t>
  </si>
  <si>
    <t xml:space="preserve">Trusted tunnel bridge</t>
  </si>
  <si>
    <t xml:space="preserve">2025-04-29</t>
  </si>
  <si>
    <t xml:space="preserve">WO2025085444A1</t>
  </si>
  <si>
    <t xml:space="preserve">Organization-specific cybersecurity dialogue system with large language models</t>
  </si>
  <si>
    <t xml:space="preserve">2025-04-24</t>
  </si>
  <si>
    <t xml:space="preserve">US12282546</t>
  </si>
  <si>
    <t xml:space="preserve">Abnormal classic authorization detection systems</t>
  </si>
  <si>
    <t xml:space="preserve">2025-04-22</t>
  </si>
  <si>
    <t xml:space="preserve">EP3949316B1</t>
  </si>
  <si>
    <t xml:space="preserve">Detecting a missing security alert using a machine learning model</t>
  </si>
  <si>
    <t xml:space="preserve">2025-04-16</t>
  </si>
  <si>
    <t xml:space="preserve">US12277210</t>
  </si>
  <si>
    <t xml:space="preserve">Runtime security analytics for serverless workloads</t>
  </si>
  <si>
    <t xml:space="preserve">2025-04-15</t>
  </si>
  <si>
    <t xml:space="preserve">US12273449</t>
  </si>
  <si>
    <t xml:space="preserve">Electronic device and method of using pairwise master key</t>
  </si>
  <si>
    <t xml:space="preserve">2025-04-08</t>
  </si>
  <si>
    <t xml:space="preserve">US20250110777</t>
  </si>
  <si>
    <t xml:space="preserve">Swappable online artificial intelligence algorithms implemented in a data intake and query system</t>
  </si>
  <si>
    <t xml:space="preserve">2025-04-03</t>
  </si>
  <si>
    <t xml:space="preserve">EP4004786B1</t>
  </si>
  <si>
    <t xml:space="preserve">Related asset access based on proven primary asset access</t>
  </si>
  <si>
    <t xml:space="preserve">2025-04-02</t>
  </si>
  <si>
    <t xml:space="preserve">US20250103697</t>
  </si>
  <si>
    <t xml:space="preserve">Passwordless secure authentication</t>
  </si>
  <si>
    <t xml:space="preserve">2025-03-27</t>
  </si>
  <si>
    <t xml:space="preserve">US20250106230</t>
  </si>
  <si>
    <t xml:space="preserve">Iot security event correlation</t>
  </si>
  <si>
    <t xml:space="preserve">EP4046355B1</t>
  </si>
  <si>
    <t xml:space="preserve">Predictive internet resource reputation assessment</t>
  </si>
  <si>
    <t xml:space="preserve">2025-03-26</t>
  </si>
  <si>
    <t xml:space="preserve">US20250094589</t>
  </si>
  <si>
    <t xml:space="preserve">Detecting microsoft windows installer malware using text classification models</t>
  </si>
  <si>
    <t xml:space="preserve">2025-03-20</t>
  </si>
  <si>
    <t xml:space="preserve">US20250094600</t>
  </si>
  <si>
    <t xml:space="preserve">Machine learning-based filtering of false positive pattern matches for personally identifiable information</t>
  </si>
  <si>
    <t xml:space="preserve">US20250088521</t>
  </si>
  <si>
    <t xml:space="preserve">Identifying similarities in complex objects at scale</t>
  </si>
  <si>
    <t xml:space="preserve">2025-03-13</t>
  </si>
  <si>
    <t xml:space="preserve">US20250088535</t>
  </si>
  <si>
    <t xml:space="preserve">Detecting phishing webpages via textual analysis from screenshots</t>
  </si>
  <si>
    <t xml:space="preserve">GB2633000A</t>
  </si>
  <si>
    <t xml:space="preserve">Management of raised security events at a data processing system</t>
  </si>
  <si>
    <t xml:space="preserve">2025-03-05</t>
  </si>
  <si>
    <t xml:space="preserve">Next Dlp Ltd</t>
  </si>
  <si>
    <t xml:space="preserve">NEXT DLP LTD</t>
  </si>
  <si>
    <t xml:space="preserve">US20250061053</t>
  </si>
  <si>
    <t xml:space="preserve">Secure and seamless injection of secrets based on execution debugging</t>
  </si>
  <si>
    <t xml:space="preserve">2025-02-20</t>
  </si>
  <si>
    <t xml:space="preserve">US20250063054</t>
  </si>
  <si>
    <t xml:space="preserve">Systems and methods for increasing security of connected vehicles</t>
  </si>
  <si>
    <t xml:space="preserve">US12225021</t>
  </si>
  <si>
    <t xml:space="preserve">Classification scheme for detecting illegitimate account creation</t>
  </si>
  <si>
    <t xml:space="preserve">2025-02-11</t>
  </si>
  <si>
    <t xml:space="preserve">US20250045391</t>
  </si>
  <si>
    <t xml:space="preserve">Deep learning-based analysis of signals for threat detection</t>
  </si>
  <si>
    <t xml:space="preserve">2025-02-06</t>
  </si>
  <si>
    <t xml:space="preserve">US20250047695</t>
  </si>
  <si>
    <t xml:space="preserve">Advanced threat prevention</t>
  </si>
  <si>
    <t xml:space="preserve">US12216527</t>
  </si>
  <si>
    <t xml:space="preserve">System and method for data ingestion, anomaly and root cause detection</t>
  </si>
  <si>
    <t xml:space="preserve">2025-02-04</t>
  </si>
  <si>
    <t xml:space="preserve">US20250036773</t>
  </si>
  <si>
    <t xml:space="preserve">Large language model assisted cybersecurity platform</t>
  </si>
  <si>
    <t xml:space="preserve">2025-01-30</t>
  </si>
  <si>
    <t xml:space="preserve">US20250039174</t>
  </si>
  <si>
    <t xml:space="preserve">Using hidden fields for bot detection</t>
  </si>
  <si>
    <t xml:space="preserve">US20250039193</t>
  </si>
  <si>
    <t xml:space="preserve">Intrusion prevention based on infection chains</t>
  </si>
  <si>
    <t xml:space="preserve">US20250039235</t>
  </si>
  <si>
    <t xml:space="preserve">Ai-based honeypot to mitigate social engineering cyberattack</t>
  </si>
  <si>
    <t xml:space="preserve">EP4497078A1</t>
  </si>
  <si>
    <t xml:space="preserve">Structured storage of access data</t>
  </si>
  <si>
    <t xml:space="preserve">2025-01-29</t>
  </si>
  <si>
    <t xml:space="preserve">US20250030703</t>
  </si>
  <si>
    <t xml:space="preserve">Learning of malicious behavior vocabulary and threat detection through behavior matching</t>
  </si>
  <si>
    <t xml:space="preserve">2025-01-23</t>
  </si>
  <si>
    <t xml:space="preserve">US20250030714</t>
  </si>
  <si>
    <t xml:space="preserve">Kernel space feature generation for user space machine learning-based malicious network traffic detection</t>
  </si>
  <si>
    <t xml:space="preserve">EP4494307A1</t>
  </si>
  <si>
    <t xml:space="preserve">Data traffic characterization prioritization</t>
  </si>
  <si>
    <t xml:space="preserve">2025-01-22</t>
  </si>
  <si>
    <t xml:space="preserve">US12206693</t>
  </si>
  <si>
    <t xml:space="preserve">Graph-based detection of network security issues</t>
  </si>
  <si>
    <t xml:space="preserve">2025-01-21</t>
  </si>
  <si>
    <t xml:space="preserve">US20250023893</t>
  </si>
  <si>
    <t xml:space="preserve">Threat exposure management system using large language models</t>
  </si>
  <si>
    <t xml:space="preserve">2025-01-16</t>
  </si>
  <si>
    <t xml:space="preserve">US12197562</t>
  </si>
  <si>
    <t xml:space="preserve">Customized anomaly detection in sandbox software security systems using graph convolutional networks</t>
  </si>
  <si>
    <t xml:space="preserve">2025-01-14</t>
  </si>
  <si>
    <t xml:space="preserve">US12197567</t>
  </si>
  <si>
    <t xml:space="preserve">Configuring detectors to detect anomalous behavior using statistical modeling procedures</t>
  </si>
  <si>
    <t xml:space="preserve">US12197586</t>
  </si>
  <si>
    <t xml:space="preserve">Systems and processes for facilitating edits to software bill of materials</t>
  </si>
  <si>
    <t xml:space="preserve">US12197908</t>
  </si>
  <si>
    <t xml:space="preserve">Enabling pass-through authentication in a multi-component application</t>
  </si>
  <si>
    <t xml:space="preserve">US12199953</t>
  </si>
  <si>
    <t xml:space="preserve">Systems and methods for encrypted browser cache</t>
  </si>
  <si>
    <t xml:space="preserve">US12199997</t>
  </si>
  <si>
    <t xml:space="preserve">Systems and methods for detecting beaconing communications using machine learning techniques</t>
  </si>
  <si>
    <t xml:space="preserve">EP4487524A1</t>
  </si>
  <si>
    <t xml:space="preserve">Graph-based techniques for security incident matching</t>
  </si>
  <si>
    <t xml:space="preserve">2025-01-08</t>
  </si>
  <si>
    <t xml:space="preserve">US12192233</t>
  </si>
  <si>
    <t xml:space="preserve">Systems and methods for phishing attack protection based on identity provider verification</t>
  </si>
  <si>
    <t xml:space="preserve">2025-01-07</t>
  </si>
  <si>
    <t xml:space="preserve">US20250005154</t>
  </si>
  <si>
    <t xml:space="preserve">Techniques for utilizing embeddings to monitor process trees</t>
  </si>
  <si>
    <t xml:space="preserve">2025-01-02</t>
  </si>
  <si>
    <t xml:space="preserve">US20250007926</t>
  </si>
  <si>
    <t xml:space="preserve">Large language models for actor attributions</t>
  </si>
  <si>
    <t xml:space="preserve">EP4483534A1</t>
  </si>
  <si>
    <t xml:space="preserve">Graph-based analysis of security incidents</t>
  </si>
  <si>
    <t xml:space="preserve">2025-01-01</t>
  </si>
  <si>
    <t xml:space="preserve">US12184498</t>
  </si>
  <si>
    <t xml:space="preserve">Networked device discovery and management</t>
  </si>
  <si>
    <t xml:space="preserve">2024-12-31</t>
  </si>
  <si>
    <t xml:space="preserve">US12184646</t>
  </si>
  <si>
    <t xml:space="preserve">Networked device security posture management</t>
  </si>
  <si>
    <t xml:space="preserve">US20240427887</t>
  </si>
  <si>
    <t xml:space="preserve">Rules-Based Malware Resolution Suggestions</t>
  </si>
  <si>
    <t xml:space="preserve">2024-12-26</t>
  </si>
  <si>
    <t xml:space="preserve">CN119179957A</t>
  </si>
  <si>
    <t xml:space="preserve">Abnormal user detection method and device, computer equipment and storage medium</t>
  </si>
  <si>
    <t xml:space="preserve">2024-12-24</t>
  </si>
  <si>
    <t xml:space="preserve">IN202341041575A</t>
  </si>
  <si>
    <t xml:space="preserve">Methods and systems for predicting threats in edge devices and protecting against the threats</t>
  </si>
  <si>
    <t xml:space="preserve">2024-12-20</t>
  </si>
  <si>
    <t xml:space="preserve">EP4476645A1</t>
  </si>
  <si>
    <t xml:space="preserve">Response activity-based security coverage management</t>
  </si>
  <si>
    <t xml:space="preserve">2024-12-18</t>
  </si>
  <si>
    <t xml:space="preserve">EP4473431A1</t>
  </si>
  <si>
    <t xml:space="preserve">Bayesian neural networks for ransomware incident detection</t>
  </si>
  <si>
    <t xml:space="preserve">2024-12-11</t>
  </si>
  <si>
    <t xml:space="preserve">US20240403437</t>
  </si>
  <si>
    <t xml:space="preserve">External api vulnerability assessments</t>
  </si>
  <si>
    <t xml:space="preserve">2024-12-05</t>
  </si>
  <si>
    <t xml:space="preserve">EP4118803B1</t>
  </si>
  <si>
    <t xml:space="preserve">Identity attack detection and blocking</t>
  </si>
  <si>
    <t xml:space="preserve">2024-12-04</t>
  </si>
  <si>
    <t xml:space="preserve">US12160436</t>
  </si>
  <si>
    <t xml:space="preserve">Hierarchical models using self organizing learning topologies</t>
  </si>
  <si>
    <t xml:space="preserve">2024-12-03</t>
  </si>
  <si>
    <t xml:space="preserve">EP4133394B1</t>
  </si>
  <si>
    <t xml:space="preserve">Unstructured text classification</t>
  </si>
  <si>
    <t xml:space="preserve">2024-11-13</t>
  </si>
  <si>
    <t xml:space="preserve">US12143391</t>
  </si>
  <si>
    <t xml:space="preserve">Internet of things security system</t>
  </si>
  <si>
    <t xml:space="preserve">2024-11-12</t>
  </si>
  <si>
    <t xml:space="preserve">US20240372880</t>
  </si>
  <si>
    <t xml:space="preserve">Monitoring and control of network traffic in a cloud server environment</t>
  </si>
  <si>
    <t xml:space="preserve">2024-11-07</t>
  </si>
  <si>
    <t xml:space="preserve">US12135779</t>
  </si>
  <si>
    <t xml:space="preserve">Systems and methods for offline usage of SaaS applications</t>
  </si>
  <si>
    <t xml:space="preserve">2024-11-05</t>
  </si>
  <si>
    <t xml:space="preserve">US12135788</t>
  </si>
  <si>
    <t xml:space="preserve">Generating information technology incident risk score narratives</t>
  </si>
  <si>
    <t xml:space="preserve">ES2984848T3</t>
  </si>
  <si>
    <t xml:space="preserve">Detecting anomalous counting of new entities</t>
  </si>
  <si>
    <t xml:space="preserve">2024-10-31</t>
  </si>
  <si>
    <t xml:space="preserve">ES</t>
  </si>
  <si>
    <t xml:space="preserve">US12131121</t>
  </si>
  <si>
    <t xml:space="preserve">Detecting information operations campaigns in social media with machine learning</t>
  </si>
  <si>
    <t xml:space="preserve">2024-10-29</t>
  </si>
  <si>
    <t xml:space="preserve">US20240357021</t>
  </si>
  <si>
    <t xml:space="preserve">Securing sensitive data during web sessions</t>
  </si>
  <si>
    <t xml:space="preserve">2024-10-24</t>
  </si>
  <si>
    <t xml:space="preserve">EP3935805B1</t>
  </si>
  <si>
    <t xml:space="preserve">Reconstructing network activity from sampled network data using archetypal analysis</t>
  </si>
  <si>
    <t xml:space="preserve">2024-10-23</t>
  </si>
  <si>
    <t xml:space="preserve">US12120124</t>
  </si>
  <si>
    <t xml:space="preserve">Live app testing within an app editor for an information technology and security operations application</t>
  </si>
  <si>
    <t xml:space="preserve">2024-10-15</t>
  </si>
  <si>
    <t xml:space="preserve">US12111925</t>
  </si>
  <si>
    <t xml:space="preserve">Methods and apparatus for detecting and preventing obfuscated cyberattacks using machine learning techniques</t>
  </si>
  <si>
    <t xml:space="preserve">2024-10-08</t>
  </si>
  <si>
    <t xml:space="preserve">US12111957</t>
  </si>
  <si>
    <t xml:space="preserve">Software provenance validation</t>
  </si>
  <si>
    <t xml:space="preserve">IN202317085032A</t>
  </si>
  <si>
    <t xml:space="preserve">Machine learning replacements for legacy cyber security</t>
  </si>
  <si>
    <t xml:space="preserve">2024-10-04</t>
  </si>
  <si>
    <t xml:space="preserve">EP4049433B1</t>
  </si>
  <si>
    <t xml:space="preserve">User impact potential for security alert management</t>
  </si>
  <si>
    <t xml:space="preserve">2024-09-25</t>
  </si>
  <si>
    <t xml:space="preserve">US20240303336</t>
  </si>
  <si>
    <t xml:space="preserve">2024-09-12</t>
  </si>
  <si>
    <t xml:space="preserve">US12088611</t>
  </si>
  <si>
    <t xml:space="preserve">Systems and methods for training a machine learning model to detect beaconing communications</t>
  </si>
  <si>
    <t xml:space="preserve">2024-09-10</t>
  </si>
  <si>
    <t xml:space="preserve">US20240289255</t>
  </si>
  <si>
    <t xml:space="preserve">Hybrid learning of expert heuristics, machine and deep learning for ranking automotive-grade applications</t>
  </si>
  <si>
    <t xml:space="preserve">2024-08-29</t>
  </si>
  <si>
    <t xml:space="preserve">AU2022430917A1</t>
  </si>
  <si>
    <t xml:space="preserve">Network adaptive alert prioritization system</t>
  </si>
  <si>
    <t xml:space="preserve">2024-08-22</t>
  </si>
  <si>
    <t xml:space="preserve">AU</t>
  </si>
  <si>
    <t xml:space="preserve">US20240281352</t>
  </si>
  <si>
    <t xml:space="preserve">Artificial Intelligence Monitoring</t>
  </si>
  <si>
    <t xml:space="preserve">US12069087</t>
  </si>
  <si>
    <t xml:space="preserve">System and method for analyzing binary code for malware classification using artificial neural network techniques</t>
  </si>
  <si>
    <t xml:space="preserve">2024-08-20</t>
  </si>
  <si>
    <t xml:space="preserve">US12069093</t>
  </si>
  <si>
    <t xml:space="preserve">Artificial virtual machine for preventing malware execution by applying virtual machine characteristics in real computing environments</t>
  </si>
  <si>
    <t xml:space="preserve">US20240265113</t>
  </si>
  <si>
    <t xml:space="preserve">Systems and Methods to Determine Attack Paths to Application Assets</t>
  </si>
  <si>
    <t xml:space="preserve">2024-08-08</t>
  </si>
  <si>
    <t xml:space="preserve">WO2024158498A1</t>
  </si>
  <si>
    <t xml:space="preserve">Security vulnerability lifecycle scope identification</t>
  </si>
  <si>
    <t xml:space="preserve">2024-08-02</t>
  </si>
  <si>
    <t xml:space="preserve">US20240259414</t>
  </si>
  <si>
    <t xml:space="preserve">Comprehensible threat detection</t>
  </si>
  <si>
    <t xml:space="preserve">2024-08-01</t>
  </si>
  <si>
    <t xml:space="preserve">US12050507</t>
  </si>
  <si>
    <t xml:space="preserve">System and method for data ingestion, anomaly detection and notification</t>
  </si>
  <si>
    <t xml:space="preserve">2024-07-30</t>
  </si>
  <si>
    <t xml:space="preserve">US12050698</t>
  </si>
  <si>
    <t xml:space="preserve">Determining application attack surface for network applications</t>
  </si>
  <si>
    <t xml:space="preserve">US20240250965</t>
  </si>
  <si>
    <t xml:space="preserve">Method and System for Efficient Cybersecurity Analysis of Endpoint Events</t>
  </si>
  <si>
    <t xml:space="preserve">2024-07-25</t>
  </si>
  <si>
    <t xml:space="preserve">US12026253</t>
  </si>
  <si>
    <t xml:space="preserve">Determination of likely related security incidents</t>
  </si>
  <si>
    <t xml:space="preserve">2024-07-02</t>
  </si>
  <si>
    <t xml:space="preserve">US12028338</t>
  </si>
  <si>
    <t xml:space="preserve">Systems and methods for secure SAAS redirection from native applications</t>
  </si>
  <si>
    <t xml:space="preserve">US12015614</t>
  </si>
  <si>
    <t xml:space="preserve">Authentication and access management for heterogeneous sources of anomaly detection data</t>
  </si>
  <si>
    <t xml:space="preserve">2024-06-18</t>
  </si>
  <si>
    <t xml:space="preserve">Ping Identity Intl Inc</t>
  </si>
  <si>
    <t xml:space="preserve">PING IDENTITY INTL INC</t>
  </si>
  <si>
    <t xml:space="preserve">US12008046</t>
  </si>
  <si>
    <t xml:space="preserve">System and method for automated determination of search query parameters for anomaly detection</t>
  </si>
  <si>
    <t xml:space="preserve">2024-06-11</t>
  </si>
  <si>
    <t xml:space="preserve">US20240187444</t>
  </si>
  <si>
    <t xml:space="preserve">Analyzing encrypted traffic behavior using contextual traffic data</t>
  </si>
  <si>
    <t xml:space="preserve">2024-06-06</t>
  </si>
  <si>
    <t xml:space="preserve">EP4189871B1</t>
  </si>
  <si>
    <t xml:space="preserve">Conjoining malware detection models for detection performance aggregation</t>
  </si>
  <si>
    <t xml:space="preserve">2024-06-05</t>
  </si>
  <si>
    <t xml:space="preserve">US12001546</t>
  </si>
  <si>
    <t xml:space="preserve">Systems and methods for causality-based multivariate time series anomaly detection</t>
  </si>
  <si>
    <t xml:space="preserve">2024-06-04</t>
  </si>
  <si>
    <t xml:space="preserve">EP4200731B1</t>
  </si>
  <si>
    <t xml:space="preserve">Cloud security monitoring of applications in paas services</t>
  </si>
  <si>
    <t xml:space="preserve">2024-05-29</t>
  </si>
  <si>
    <t xml:space="preserve">CN114731284B</t>
  </si>
  <si>
    <t xml:space="preserve">Collaborative filtering anomaly detection interpretability</t>
  </si>
  <si>
    <t xml:space="preserve">2024-05-28</t>
  </si>
  <si>
    <t xml:space="preserve">US11997197</t>
  </si>
  <si>
    <t xml:space="preserve">Push architecture for secure provision of secrets</t>
  </si>
  <si>
    <t xml:space="preserve">EP3841503B1</t>
  </si>
  <si>
    <t xml:space="preserve">Similarity based approach for clustering and accelerating multiple incidents investigation</t>
  </si>
  <si>
    <t xml:space="preserve">2024-05-15</t>
  </si>
  <si>
    <t xml:space="preserve">US11983094</t>
  </si>
  <si>
    <t xml:space="preserve">Software diagnostic context selection and use</t>
  </si>
  <si>
    <t xml:space="preserve">2024-05-14</t>
  </si>
  <si>
    <t xml:space="preserve">WO2024093872A1</t>
  </si>
  <si>
    <t xml:space="preserve">Auto-detection of observables and auto-disposition of alerts in an endpoint detection and response (edr) system using machine learning</t>
  </si>
  <si>
    <t xml:space="preserve">2024-05-10</t>
  </si>
  <si>
    <t xml:space="preserve">US11977494</t>
  </si>
  <si>
    <t xml:space="preserve">Providing a secure communication channel between kernel and user mode components</t>
  </si>
  <si>
    <t xml:space="preserve">2024-05-07</t>
  </si>
  <si>
    <t xml:space="preserve">US20240146747</t>
  </si>
  <si>
    <t xml:space="preserve">Methods and systems for multi-cloud breach detection using ensemble classification and deep anomaly detection</t>
  </si>
  <si>
    <t xml:space="preserve">2024-05-02</t>
  </si>
  <si>
    <t xml:space="preserve">EP4359978A1</t>
  </si>
  <si>
    <t xml:space="preserve">Detection of supply chain-related security threats to software applications</t>
  </si>
  <si>
    <t xml:space="preserve">2024-05-01</t>
  </si>
  <si>
    <t xml:space="preserve">EP4360255A1</t>
  </si>
  <si>
    <t xml:space="preserve">US11973796</t>
  </si>
  <si>
    <t xml:space="preserve">Dangling domain detection and access mitigation</t>
  </si>
  <si>
    <t xml:space="preserve">2024-04-30</t>
  </si>
  <si>
    <t xml:space="preserve">IN202241058925A</t>
  </si>
  <si>
    <t xml:space="preserve">Methods and electronic device for detecting suspicious content</t>
  </si>
  <si>
    <t xml:space="preserve">2024-04-19</t>
  </si>
  <si>
    <t xml:space="preserve">US11954571</t>
  </si>
  <si>
    <t xml:space="preserve">Churn-aware machine learning for cybersecurity threat detection</t>
  </si>
  <si>
    <t xml:space="preserve">2024-04-09</t>
  </si>
  <si>
    <t xml:space="preserve">US11956208</t>
  </si>
  <si>
    <t xml:space="preserve">Graphical representation of security threats in a network</t>
  </si>
  <si>
    <t xml:space="preserve">US20240114002</t>
  </si>
  <si>
    <t xml:space="preserve">Firewall panic button for quarantining operational technology (ot) systems from real-time attacks on internet information technology (it) systems</t>
  </si>
  <si>
    <t xml:space="preserve">2024-04-04</t>
  </si>
  <si>
    <t xml:space="preserve">US11949702</t>
  </si>
  <si>
    <t xml:space="preserve">Analysis and mitigation of network security risks</t>
  </si>
  <si>
    <t xml:space="preserve">2024-04-02</t>
  </si>
  <si>
    <t xml:space="preserve">EP4341828A1</t>
  </si>
  <si>
    <t xml:space="preserve">Processing management for high data i/o ratio modules</t>
  </si>
  <si>
    <t xml:space="preserve">2024-03-27</t>
  </si>
  <si>
    <t xml:space="preserve">EP3841502B1</t>
  </si>
  <si>
    <t xml:space="preserve">Enhancing cybersecurity and operational monitoring with alert confidence assignments</t>
  </si>
  <si>
    <t xml:space="preserve">US11941710</t>
  </si>
  <si>
    <t xml:space="preserve">Behavioral modeling for power utility automation networks</t>
  </si>
  <si>
    <t xml:space="preserve">2024-03-26</t>
  </si>
  <si>
    <t xml:space="preserve">US20240098114</t>
  </si>
  <si>
    <t xml:space="preserve">System and Method for Identifying and Managing Cybersecurity Top Threats</t>
  </si>
  <si>
    <t xml:space="preserve">2024-03-21</t>
  </si>
  <si>
    <t xml:space="preserve">WO2024057103A1</t>
  </si>
  <si>
    <t xml:space="preserve">Build environment for software development, security, and operations</t>
  </si>
  <si>
    <t xml:space="preserve">IBM ISRAEL SCIENCE &amp; TECH LTD</t>
  </si>
  <si>
    <t xml:space="preserve">US11930022</t>
  </si>
  <si>
    <t xml:space="preserve">Cloud-based orchestration of incident response using multi-feed security event classifications</t>
  </si>
  <si>
    <t xml:space="preserve">2024-03-12</t>
  </si>
  <si>
    <t xml:space="preserve">US11921873</t>
  </si>
  <si>
    <t xml:space="preserve">Authenticating data associated with a data intake and query system using a distributed ledger system</t>
  </si>
  <si>
    <t xml:space="preserve">2024-03-05</t>
  </si>
  <si>
    <t xml:space="preserve">US11924235</t>
  </si>
  <si>
    <t xml:space="preserve">Leveraging user-behavior analytics for improved security event classification</t>
  </si>
  <si>
    <t xml:space="preserve">US11924284</t>
  </si>
  <si>
    <t xml:space="preserve">Automated security, orchestration, automation, and response (SOAR) app generation based on application programming interface specification data</t>
  </si>
  <si>
    <t xml:space="preserve">US11909731</t>
  </si>
  <si>
    <t xml:space="preserve">Dynamic and least-privilege access to secure network resources using ephemeral credentials</t>
  </si>
  <si>
    <t xml:space="preserve">2024-02-20</t>
  </si>
  <si>
    <t xml:space="preserve">US11909750</t>
  </si>
  <si>
    <t xml:space="preserve">Data reduction and evaluation via link analysis</t>
  </si>
  <si>
    <t xml:space="preserve">US11909761</t>
  </si>
  <si>
    <t xml:space="preserve">Mitigating malware impact by utilizing sandbox insights</t>
  </si>
  <si>
    <t xml:space="preserve">US11899780</t>
  </si>
  <si>
    <t xml:space="preserve">Automatic assessment of API service security standing with API reputation scoring</t>
  </si>
  <si>
    <t xml:space="preserve">2024-02-13</t>
  </si>
  <si>
    <t xml:space="preserve">WO2024027502A1</t>
  </si>
  <si>
    <t xml:space="preserve">Resource topology generation for computer systems</t>
  </si>
  <si>
    <t xml:space="preserve">2024-02-08</t>
  </si>
  <si>
    <t xml:space="preserve">KR20240016884A</t>
  </si>
  <si>
    <t xml:space="preserve">Storage system, storage device and method for controlling the system</t>
  </si>
  <si>
    <t xml:space="preserve">2024-02-06</t>
  </si>
  <si>
    <t xml:space="preserve">US11895096</t>
  </si>
  <si>
    <t xml:space="preserve">Systems and methods for transparent SaaS data encryption and tokenization</t>
  </si>
  <si>
    <t xml:space="preserve">US11895237</t>
  </si>
  <si>
    <t xml:space="preserve">Scaled authentication of endpoint devices</t>
  </si>
  <si>
    <t xml:space="preserve">US20240037245</t>
  </si>
  <si>
    <t xml:space="preserve">Vulnerability risk prediction engine</t>
  </si>
  <si>
    <t xml:space="preserve">2024-02-01</t>
  </si>
  <si>
    <t xml:space="preserve">WO2024023605A1</t>
  </si>
  <si>
    <t xml:space="preserve">Multi-tenant security</t>
  </si>
  <si>
    <t xml:space="preserve">US11886582</t>
  </si>
  <si>
    <t xml:space="preserve">Malicious javascript detection based on abstract syntax trees (AST) and deep machine learning (DML)</t>
  </si>
  <si>
    <t xml:space="preserve">2024-01-30</t>
  </si>
  <si>
    <t xml:space="preserve">US11882128</t>
  </si>
  <si>
    <t xml:space="preserve">Improving incident classification and enrichment by leveraging context from multiple security agents</t>
  </si>
  <si>
    <t xml:space="preserve">2024-01-23</t>
  </si>
  <si>
    <t xml:space="preserve">US20240022577</t>
  </si>
  <si>
    <t xml:space="preserve">Sequential dual machine learning models for effective cloud detection engines</t>
  </si>
  <si>
    <t xml:space="preserve">2024-01-18</t>
  </si>
  <si>
    <t xml:space="preserve">WO2024013597A1</t>
  </si>
  <si>
    <t xml:space="preserve">Fully unsupervised pipeline for clustering anomalies detected in computerized systems</t>
  </si>
  <si>
    <t xml:space="preserve">IN202347086720A</t>
  </si>
  <si>
    <t xml:space="preserve">2024-01-12</t>
  </si>
  <si>
    <t xml:space="preserve">US11870795</t>
  </si>
  <si>
    <t xml:space="preserve">Identifying attack behavior based on scripting language activity</t>
  </si>
  <si>
    <t xml:space="preserve">2024-01-09</t>
  </si>
  <si>
    <t xml:space="preserve">US20240007491</t>
  </si>
  <si>
    <t xml:space="preserve">Methods and systems for identity control</t>
  </si>
  <si>
    <t xml:space="preserve">2024-01-04</t>
  </si>
  <si>
    <t xml:space="preserve">US20240007774</t>
  </si>
  <si>
    <t xml:space="preserve">Network Telemetry with Byte Distribution and Cryptographic Protocol Data Elements</t>
  </si>
  <si>
    <t xml:space="preserve">US11856008</t>
  </si>
  <si>
    <t xml:space="preserve">Facilitating identification of compromised devices by network access control (NAC) or unified threat management (UTM) security services by leveraging context from an endpoint detection and response (EDR) agent</t>
  </si>
  <si>
    <t xml:space="preserve">2023-12-26</t>
  </si>
  <si>
    <t xml:space="preserve">US11856020</t>
  </si>
  <si>
    <t xml:space="preserve">Detecting potential domain name system (DNS) hijacking by identifying anomalous changes to DNS records</t>
  </si>
  <si>
    <t xml:space="preserve">US11842157</t>
  </si>
  <si>
    <t xml:space="preserve">Automated feature extraction and artificial intelligence (AI) based detection and classification of malware</t>
  </si>
  <si>
    <t xml:space="preserve">2023-12-12</t>
  </si>
  <si>
    <t xml:space="preserve">US11843626</t>
  </si>
  <si>
    <t xml:space="preserve">Connected component-based collaborative filtering in recommendation intrusion detection systems</t>
  </si>
  <si>
    <t xml:space="preserve">KR102612500B1</t>
  </si>
  <si>
    <t xml:space="preserve">Sensitive data exposure detection through logging</t>
  </si>
  <si>
    <t xml:space="preserve">2023-12-08</t>
  </si>
  <si>
    <t xml:space="preserve">Intl Business Machines Corp</t>
  </si>
  <si>
    <t xml:space="preserve">INTL BUSINESS MACHINES CORP</t>
  </si>
  <si>
    <t xml:space="preserve">US11838351</t>
  </si>
  <si>
    <t xml:space="preserve">Customizable load balancing in a user behavior analytics deployment</t>
  </si>
  <si>
    <t xml:space="preserve">2023-12-05</t>
  </si>
  <si>
    <t xml:space="preserve">WO2023020433A9</t>
  </si>
  <si>
    <t xml:space="preserve">Keyless pattern-based mechanism for unlocking vehicle</t>
  </si>
  <si>
    <t xml:space="preserve">2023-11-30</t>
  </si>
  <si>
    <t xml:space="preserve">US11824832</t>
  </si>
  <si>
    <t xml:space="preserve">Prevention of malicious use of endpoint devices</t>
  </si>
  <si>
    <t xml:space="preserve">2023-11-21</t>
  </si>
  <si>
    <t xml:space="preserve">US20230367883</t>
  </si>
  <si>
    <t xml:space="preserve">Systems and processes for tailoring risk mitigation of threat events associated with software bill of materials</t>
  </si>
  <si>
    <t xml:space="preserve">2023-11-16</t>
  </si>
  <si>
    <t xml:space="preserve">EP3921750B1</t>
  </si>
  <si>
    <t xml:space="preserve">Dynamic cybersecurity peer identification using groups</t>
  </si>
  <si>
    <t xml:space="preserve">2023-11-15</t>
  </si>
  <si>
    <t xml:space="preserve">US11816214</t>
  </si>
  <si>
    <t xml:space="preserve">Building multi-representational learning models for static analysis of source code</t>
  </si>
  <si>
    <t xml:space="preserve">2023-11-14</t>
  </si>
  <si>
    <t xml:space="preserve">US11818251</t>
  </si>
  <si>
    <t xml:space="preserve">System and method for securely storing and sharing information</t>
  </si>
  <si>
    <t xml:space="preserve">US11811805</t>
  </si>
  <si>
    <t xml:space="preserve">Detecting fraud by correlating user behavior biometrics with other data sources</t>
  </si>
  <si>
    <t xml:space="preserve">2023-11-07</t>
  </si>
  <si>
    <t xml:space="preserve">US11797694</t>
  </si>
  <si>
    <t xml:space="preserve">Systems and methods for integrating html based application with embedded browser</t>
  </si>
  <si>
    <t xml:space="preserve">2023-10-24</t>
  </si>
  <si>
    <t xml:space="preserve">US11799904</t>
  </si>
  <si>
    <t xml:space="preserve">Malware detection using inverse imbalance subspace searching</t>
  </si>
  <si>
    <t xml:space="preserve">US20230334478</t>
  </si>
  <si>
    <t xml:space="preserve">Detecting anomalous transactions within an application by privileged user accounts</t>
  </si>
  <si>
    <t xml:space="preserve">2023-10-19</t>
  </si>
  <si>
    <t xml:space="preserve">CN114008977B</t>
  </si>
  <si>
    <t xml:space="preserve">SIEM system and method for leakage event data</t>
  </si>
  <si>
    <t xml:space="preserve">2023-10-17</t>
  </si>
  <si>
    <t xml:space="preserve">US11792291</t>
  </si>
  <si>
    <t xml:space="preserve">Proxying hypertext transfer protocol (HTTP) requests for microservices</t>
  </si>
  <si>
    <t xml:space="preserve">US11783035</t>
  </si>
  <si>
    <t xml:space="preserve">Multi-representational learning models for static analysis of source code</t>
  </si>
  <si>
    <t xml:space="preserve">2023-10-10</t>
  </si>
  <si>
    <t xml:space="preserve">US11783062</t>
  </si>
  <si>
    <t xml:space="preserve">Risk-based access to computing environment secrets</t>
  </si>
  <si>
    <t xml:space="preserve">US11785041</t>
  </si>
  <si>
    <t xml:space="preserve">Identifying and using DNS contextual flows</t>
  </si>
  <si>
    <t xml:space="preserve">US11777945</t>
  </si>
  <si>
    <t xml:space="preserve">Predicting suspiciousness of access between entities and resources</t>
  </si>
  <si>
    <t xml:space="preserve">2023-10-03</t>
  </si>
  <si>
    <t xml:space="preserve">US11755704</t>
  </si>
  <si>
    <t xml:space="preserve">Facilitating secure unlocking of a computing device</t>
  </si>
  <si>
    <t xml:space="preserve">2023-09-12</t>
  </si>
  <si>
    <t xml:space="preserve">US11750615</t>
  </si>
  <si>
    <t xml:space="preserve">Securing development and operations pipelines</t>
  </si>
  <si>
    <t xml:space="preserve">2023-09-05</t>
  </si>
  <si>
    <t xml:space="preserve">US11736378</t>
  </si>
  <si>
    <t xml:space="preserve">Collaborative incident management for networked computing systems</t>
  </si>
  <si>
    <t xml:space="preserve">2023-08-22</t>
  </si>
  <si>
    <t xml:space="preserve">EP3422237B1</t>
  </si>
  <si>
    <t xml:space="preserve">Policy-based application management</t>
  </si>
  <si>
    <t xml:space="preserve">2023-08-16</t>
  </si>
  <si>
    <t xml:space="preserve">CN109558721B</t>
  </si>
  <si>
    <t xml:space="preserve">Method and system for secure single sign-on and conditional access of client applications</t>
  </si>
  <si>
    <t xml:space="preserve">2023-08-08</t>
  </si>
  <si>
    <t xml:space="preserve">US11720410</t>
  </si>
  <si>
    <t xml:space="preserve">Secure service isolation between instances of cloud products using a SaaS model</t>
  </si>
  <si>
    <t xml:space="preserve">US20230244636</t>
  </si>
  <si>
    <t xml:space="preserve">Utilization-based tracking data retention control</t>
  </si>
  <si>
    <t xml:space="preserve">2023-08-03</t>
  </si>
  <si>
    <t xml:space="preserve">US11716326</t>
  </si>
  <si>
    <t xml:space="preserve">Protections against security vulnerabilities associated with temporary access tokens</t>
  </si>
  <si>
    <t xml:space="preserve">2023-08-01</t>
  </si>
  <si>
    <t xml:space="preserve">WO2023140945A1</t>
  </si>
  <si>
    <t xml:space="preserve">Output of baseline behaviors corresponding to features of anomalous events</t>
  </si>
  <si>
    <t xml:space="preserve">2023-07-27</t>
  </si>
  <si>
    <t xml:space="preserve">EP4211915A1</t>
  </si>
  <si>
    <t xml:space="preserve">Service access data enrichment for cybersecurity</t>
  </si>
  <si>
    <t xml:space="preserve">2023-07-19</t>
  </si>
  <si>
    <t xml:space="preserve">EP3878159B1</t>
  </si>
  <si>
    <t xml:space="preserve">Systems and methods for application pre-launch</t>
  </si>
  <si>
    <t xml:space="preserve">US11704427</t>
  </si>
  <si>
    <t xml:space="preserve">Systems and methods for providing data loss prevention via an embedded browser</t>
  </si>
  <si>
    <t xml:space="preserve">2023-07-18</t>
  </si>
  <si>
    <t xml:space="preserve">US11704431</t>
  </si>
  <si>
    <t xml:space="preserve">Data security classification sampling and labeling</t>
  </si>
  <si>
    <t xml:space="preserve">US11700269</t>
  </si>
  <si>
    <t xml:space="preserve">Analyzing user behavior patterns to detect compromised nodes in an enterprise network</t>
  </si>
  <si>
    <t xml:space="preserve">2023-07-11</t>
  </si>
  <si>
    <t xml:space="preserve">US20230214481</t>
  </si>
  <si>
    <t xml:space="preserve">Secure Display of Sensitive Content</t>
  </si>
  <si>
    <t xml:space="preserve">2023-07-06</t>
  </si>
  <si>
    <t xml:space="preserve">WO2023104791A1</t>
  </si>
  <si>
    <t xml:space="preserve">Combining policy compliance and vulnerability management for risk assessment</t>
  </si>
  <si>
    <t xml:space="preserve">2023-06-15</t>
  </si>
  <si>
    <t xml:space="preserve">EP4193287A1</t>
  </si>
  <si>
    <t xml:space="preserve">Systems and methods for application placement in a network based on host security posture</t>
  </si>
  <si>
    <t xml:space="preserve">2023-06-14</t>
  </si>
  <si>
    <t xml:space="preserve">EP4193288A1</t>
  </si>
  <si>
    <t xml:space="preserve">Systems and methods for detecting hidden vulnerabilities in enterprise networks</t>
  </si>
  <si>
    <t xml:space="preserve">US11675816</t>
  </si>
  <si>
    <t xml:space="preserve">Grouping evens into episodes using a streaming data processor</t>
  </si>
  <si>
    <t xml:space="preserve">2023-06-13</t>
  </si>
  <si>
    <t xml:space="preserve">US11676072</t>
  </si>
  <si>
    <t xml:space="preserve">Interface for incorporating user feedback into training of clustering model</t>
  </si>
  <si>
    <t xml:space="preserve">US11671445</t>
  </si>
  <si>
    <t xml:space="preserve">Remedial actions based on user risk assessments</t>
  </si>
  <si>
    <t xml:space="preserve">2023-06-06</t>
  </si>
  <si>
    <t xml:space="preserve">CHRONICLE LLC</t>
  </si>
  <si>
    <t xml:space="preserve">US11647025</t>
  </si>
  <si>
    <t xml:space="preserve">Systems and methods for continuous authentication</t>
  </si>
  <si>
    <t xml:space="preserve">2023-05-09</t>
  </si>
  <si>
    <t xml:space="preserve">US11647035</t>
  </si>
  <si>
    <t xml:space="preserve">Fidelity of anomaly alerts using control plane and data plane information</t>
  </si>
  <si>
    <t xml:space="preserve">US11636311</t>
  </si>
  <si>
    <t xml:space="preserve">Anomaly detection based on predicted textual characters</t>
  </si>
  <si>
    <t xml:space="preserve">2023-04-25</t>
  </si>
  <si>
    <t xml:space="preserve">US11632383</t>
  </si>
  <si>
    <t xml:space="preserve">Predictive model selection for anomaly detection</t>
  </si>
  <si>
    <t xml:space="preserve">2023-04-18</t>
  </si>
  <si>
    <t xml:space="preserve">US20230109730</t>
  </si>
  <si>
    <t xml:space="preserve">Discovering and remediating hidden secrets in code files</t>
  </si>
  <si>
    <t xml:space="preserve">2023-04-13</t>
  </si>
  <si>
    <t xml:space="preserve">US11627149</t>
  </si>
  <si>
    <t xml:space="preserve">Security monitoring of network connections using metrics data</t>
  </si>
  <si>
    <t xml:space="preserve">2023-04-11</t>
  </si>
  <si>
    <t xml:space="preserve">US11620129</t>
  </si>
  <si>
    <t xml:space="preserve">Agent-based detection of fuzzing activity associated with a target program</t>
  </si>
  <si>
    <t xml:space="preserve">2023-04-04</t>
  </si>
  <si>
    <t xml:space="preserve">WO2023042000A1</t>
  </si>
  <si>
    <t xml:space="preserve">Graph neural network (gnn) training using meta-path neighbor sampling and contrastive learning</t>
  </si>
  <si>
    <t xml:space="preserve">2023-03-23</t>
  </si>
  <si>
    <t xml:space="preserve">CA3048906C</t>
  </si>
  <si>
    <t xml:space="preserve">Gathering indicators of compromise for security threat detection</t>
  </si>
  <si>
    <t xml:space="preserve">2023-03-21</t>
  </si>
  <si>
    <t xml:space="preserve">CA</t>
  </si>
  <si>
    <t xml:space="preserve">EP4143713A1</t>
  </si>
  <si>
    <t xml:space="preserve">Label-based double key encryption</t>
  </si>
  <si>
    <t xml:space="preserve">2023-03-08</t>
  </si>
  <si>
    <t xml:space="preserve">US11601324</t>
  </si>
  <si>
    <t xml:space="preserve">Composite display of multi-sourced IT incident related information</t>
  </si>
  <si>
    <t xml:space="preserve">2023-03-07</t>
  </si>
  <si>
    <t xml:space="preserve">US11588857</t>
  </si>
  <si>
    <t xml:space="preserve">Network asset lifecycle management</t>
  </si>
  <si>
    <t xml:space="preserve">2023-02-21</t>
  </si>
  <si>
    <t xml:space="preserve">EP4127992A1</t>
  </si>
  <si>
    <t xml:space="preserve">Live forensic browsing of urls</t>
  </si>
  <si>
    <t xml:space="preserve">2023-02-08</t>
  </si>
  <si>
    <t xml:space="preserve">US11575692</t>
  </si>
  <si>
    <t xml:space="preserve">Identity spray attack detection with adaptive classification</t>
  </si>
  <si>
    <t xml:space="preserve">2023-02-07</t>
  </si>
  <si>
    <t xml:space="preserve">US11562068</t>
  </si>
  <si>
    <t xml:space="preserve">Performing threat detection by synergistically combining results of static file analysis and behavior analysis</t>
  </si>
  <si>
    <t xml:space="preserve">2023-01-24</t>
  </si>
  <si>
    <t xml:space="preserve">US11556640</t>
  </si>
  <si>
    <t xml:space="preserve">Systems and methods for automated cybersecurity analysis of extracted binary string sets</t>
  </si>
  <si>
    <t xml:space="preserve">2023-01-17</t>
  </si>
  <si>
    <t xml:space="preserve">US11558484</t>
  </si>
  <si>
    <t xml:space="preserve">Systems and methods for secure peer-to-peer caching</t>
  </si>
  <si>
    <t xml:space="preserve">Patents by Category</t>
  </si>
  <si>
    <t xml:space="preserve">Count</t>
  </si>
  <si>
    <t xml:space="preserve">Total</t>
  </si>
  <si>
    <t xml:space="preserve">Patents by Company (Top 10)</t>
  </si>
  <si>
    <t xml:space="preserve">Patents by Publication Year</t>
  </si>
  <si>
    <t xml:space="preserve">2023</t>
  </si>
  <si>
    <t xml:space="preserve">2024</t>
  </si>
  <si>
    <t xml:space="preserve">2025</t>
  </si>
  <si>
    <t xml:space="preserve">2026</t>
  </si>
  <si>
    <t xml:space="preserve">Category x Year</t>
  </si>
  <si>
    <t xml:space="preserve">Company x Category (Top 6)</t>
  </si>
  <si>
    <t xml:space="preserve">Company x Year (Top 6)</t>
  </si>
  <si>
    <t xml:space="preserve">US12670170</t>
  </si>
  <si>
    <t xml:space="preserve">Search recovery using a shared storage system following a failed search peer</t>
  </si>
  <si>
    <t xml:space="preserve">Irrelevant / Out of Scope</t>
  </si>
  <si>
    <t xml:space="preserve">US12670434</t>
  </si>
  <si>
    <t xml:space="preserve">Multiple instance learning models for cybersecurity using JavaScript object notation (JSON) training data</t>
  </si>
  <si>
    <t xml:space="preserve">US12671691</t>
  </si>
  <si>
    <t xml:space="preserve">Mode-based user activity monitoring in web browser</t>
  </si>
  <si>
    <t xml:space="preserve">US20260178555</t>
  </si>
  <si>
    <t xml:space="preserve">Semantic search for retrieval-augmented generation</t>
  </si>
  <si>
    <t xml:space="preserve">US20260178745</t>
  </si>
  <si>
    <t xml:space="preserve">Orchestrated execution of code by a cloud-based data intake and query system</t>
  </si>
  <si>
    <t xml:space="preserve">CN117793251B</t>
  </si>
  <si>
    <t xml:space="preserve">Customer service call quality inspection method and device, computer equipment and storage medium</t>
  </si>
  <si>
    <t xml:space="preserve">US20260172425</t>
  </si>
  <si>
    <t xml:space="preserve">Profile grants for granting permissions for tool access</t>
  </si>
  <si>
    <t xml:space="preserve">Zilla Security Inc</t>
  </si>
  <si>
    <t xml:space="preserve">ZILLA SECURITY INC</t>
  </si>
  <si>
    <t xml:space="preserve">EP4760601A1</t>
  </si>
  <si>
    <t xml:space="preserve">Memory efficient machine learning model training</t>
  </si>
  <si>
    <t xml:space="preserve">2026-06-17</t>
  </si>
  <si>
    <t xml:space="preserve">US12657197</t>
  </si>
  <si>
    <t xml:space="preserve">Three-dimensional drill-down data visualization in extended reality environment</t>
  </si>
  <si>
    <t xml:space="preserve">US12657223</t>
  </si>
  <si>
    <t xml:space="preserve">Systems and methods for detection of beaconing through the deployment of machine learning models</t>
  </si>
  <si>
    <t xml:space="preserve">US12657455</t>
  </si>
  <si>
    <t xml:space="preserve">Computer implemented pre-processing method and system for facilitating machine learning signal classes separability, and, non-transitory computer readable storage medium</t>
  </si>
  <si>
    <t xml:space="preserve">US12659228</t>
  </si>
  <si>
    <t xml:space="preserve">Using large language models to recommend and validate asset and/or cloud configurations</t>
  </si>
  <si>
    <t xml:space="preserve">US12659300</t>
  </si>
  <si>
    <t xml:space="preserve">Customer-managed identifier rotation and anonymous processing</t>
  </si>
  <si>
    <t xml:space="preserve">US12659325</t>
  </si>
  <si>
    <t xml:space="preserve">Automatic generation of rules based on analysis of data by a data platform</t>
  </si>
  <si>
    <t xml:space="preserve">US12659331</t>
  </si>
  <si>
    <t xml:space="preserve">Real-time attribution of tools and campaigns for DNS tunneling traffic</t>
  </si>
  <si>
    <t xml:space="preserve">US20260161613</t>
  </si>
  <si>
    <t xml:space="preserve">Data Model Ontology for Monitoring Multiple Cloud Environments</t>
  </si>
  <si>
    <t xml:space="preserve">US20260161742</t>
  </si>
  <si>
    <t xml:space="preserve">Systems And Methods For Predicting An Event Source Type Based On Punctuation And Special Character Extraction</t>
  </si>
  <si>
    <t xml:space="preserve">US20260161933</t>
  </si>
  <si>
    <t xml:space="preserve">Causal predictive optimization for connection network services</t>
  </si>
  <si>
    <t xml:space="preserve">US20260163884</t>
  </si>
  <si>
    <t xml:space="preserve">Systems and methods for securing communication sessions</t>
  </si>
  <si>
    <t xml:space="preserve">EP4754662A1</t>
  </si>
  <si>
    <t xml:space="preserve">Binary file malware detection with structure aware machine learning</t>
  </si>
  <si>
    <t xml:space="preserve">US12651001</t>
  </si>
  <si>
    <t xml:space="preserve">Multiple data sources for a data processing pipeline</t>
  </si>
  <si>
    <t xml:space="preserve">US20260154567</t>
  </si>
  <si>
    <t xml:space="preserve">Enhancing retrieval augmented generation with subject matter expertise</t>
  </si>
  <si>
    <t xml:space="preserve">US20260156154</t>
  </si>
  <si>
    <t xml:space="preserve">Policy set feature guided node level partitioning for policy search tree optimization</t>
  </si>
  <si>
    <t xml:space="preserve">US12645704</t>
  </si>
  <si>
    <t xml:space="preserve">Low-latency streaming analytics</t>
  </si>
  <si>
    <t xml:space="preserve">US20260147880</t>
  </si>
  <si>
    <t xml:space="preserve">Detection engine(s) for identifying bot-created tenants within a cloud-based environment</t>
  </si>
  <si>
    <t xml:space="preserve">US20260147889</t>
  </si>
  <si>
    <t xml:space="preserve">Executable parser and feature extractor</t>
  </si>
  <si>
    <t xml:space="preserve">EP4181079B1</t>
  </si>
  <si>
    <t xml:space="preserve">Method and apparatus with multi-modal feature fusion</t>
  </si>
  <si>
    <t xml:space="preserve">US20260140745</t>
  </si>
  <si>
    <t xml:space="preserve">Library Identification in Application Binaries</t>
  </si>
  <si>
    <t xml:space="preserve">Zimperium Inc</t>
  </si>
  <si>
    <t xml:space="preserve">ZIMPERIUM INC</t>
  </si>
  <si>
    <t xml:space="preserve">US20260140952</t>
  </si>
  <si>
    <t xml:space="preserve">Context-based follow up query generation in text-to-database query conversion systems</t>
  </si>
  <si>
    <t xml:space="preserve">US20260141942</t>
  </si>
  <si>
    <t xml:space="preserve">Device, operating method, memory device, and cxl memory expansion device</t>
  </si>
  <si>
    <t xml:space="preserve">US20260142979</t>
  </si>
  <si>
    <t xml:space="preserve">Role-based remote session management</t>
  </si>
  <si>
    <t xml:space="preserve">EP4743941A1</t>
  </si>
  <si>
    <t xml:space="preserve">Differential privacy for hll-derived estimates</t>
  </si>
  <si>
    <t xml:space="preserve">US12634333</t>
  </si>
  <si>
    <t xml:space="preserve">Iteratively trained machine learning models for configurations of application protection</t>
  </si>
  <si>
    <t xml:space="preserve">US12626138</t>
  </si>
  <si>
    <t xml:space="preserve">Causality detection for outlier events in telemetry metric data</t>
  </si>
  <si>
    <t xml:space="preserve">US12627671</t>
  </si>
  <si>
    <t xml:space="preserve">Shared risk assessment and clustering for industrial IOT applications</t>
  </si>
  <si>
    <t xml:space="preserve">CN122003679A</t>
  </si>
  <si>
    <t xml:space="preserve">Generated artificial intelligence output verification engine in artificial intelligence system</t>
  </si>
  <si>
    <t xml:space="preserve">2026-05-08</t>
  </si>
  <si>
    <t xml:space="preserve">EP4738102A1</t>
  </si>
  <si>
    <t xml:space="preserve">Rendering gui components for refining queries to generative machine learning models</t>
  </si>
  <si>
    <t xml:space="preserve">2026-05-06</t>
  </si>
  <si>
    <t xml:space="preserve">KR20260061238A</t>
  </si>
  <si>
    <t xml:space="preserve">Automated code signature generation for Windows .NET binaries</t>
  </si>
  <si>
    <t xml:space="preserve">US12619664</t>
  </si>
  <si>
    <t xml:space="preserve">Location-based object identification and data visualization</t>
  </si>
  <si>
    <t xml:space="preserve">US20260119476</t>
  </si>
  <si>
    <t xml:space="preserve">Graph-based detection of conflicting aliases in language model-based text to database query conversion systems</t>
  </si>
  <si>
    <t xml:space="preserve">US20260119481</t>
  </si>
  <si>
    <t xml:space="preserve">Contextual identifier-attribute mappings for large language models</t>
  </si>
  <si>
    <t xml:space="preserve">EP4372571B1</t>
  </si>
  <si>
    <t xml:space="preserve">Centralized storage device, in-vehicle electronic system including the same, and method of operating the same</t>
  </si>
  <si>
    <t xml:space="preserve">US12613864</t>
  </si>
  <si>
    <t xml:space="preserve">Using worker nodes to process results of a subquery</t>
  </si>
  <si>
    <t xml:space="preserve">US12613954</t>
  </si>
  <si>
    <t xml:space="preserve">Adapters for runtime application self-protection</t>
  </si>
  <si>
    <t xml:space="preserve">US20260111179</t>
  </si>
  <si>
    <t xml:space="preserve">Systems and methods for code search using neural network based language models</t>
  </si>
  <si>
    <t xml:space="preserve">US20260111479</t>
  </si>
  <si>
    <t xml:space="preserve">Query optimization for generative machine learning models</t>
  </si>
  <si>
    <t xml:space="preserve">US12608313</t>
  </si>
  <si>
    <t xml:space="preserve">Garbage collection in constrained local environments</t>
  </si>
  <si>
    <t xml:space="preserve">US20260105119</t>
  </si>
  <si>
    <t xml:space="preserve">System and interface for integrating related content</t>
  </si>
  <si>
    <t xml:space="preserve">US20260107419</t>
  </si>
  <si>
    <t xml:space="preserve">Redundant Liquid-Based Cooling System</t>
  </si>
  <si>
    <t xml:space="preserve">US12603904</t>
  </si>
  <si>
    <t xml:space="preserve">Cyber-threat analyses using machine learning and prior observations</t>
  </si>
  <si>
    <t xml:space="preserve">US20260099420</t>
  </si>
  <si>
    <t xml:space="preserve">Software bill of materials component usage</t>
  </si>
  <si>
    <t xml:space="preserve">US20260099582</t>
  </si>
  <si>
    <t xml:space="preserve">Information classification based on detecting provisions for intrusive actions</t>
  </si>
  <si>
    <t xml:space="preserve">US20260099617</t>
  </si>
  <si>
    <t xml:space="preserve">Multi-Modal Queries in a Digital Cybersecurity Systems</t>
  </si>
  <si>
    <t xml:space="preserve">US20260099719</t>
  </si>
  <si>
    <t xml:space="preserve">Flexible and extensible prompt guardrails for generative artificial intelligence systems</t>
  </si>
  <si>
    <t xml:space="preserve">US12596763</t>
  </si>
  <si>
    <t xml:space="preserve">Reduced latency content prefetching with local behavioral profiles</t>
  </si>
  <si>
    <t xml:space="preserve">2026-04-07</t>
  </si>
  <si>
    <t xml:space="preserve">US12596794</t>
  </si>
  <si>
    <t xml:space="preserve">Systems and methods for adaptive action with distributed enforcement points</t>
  </si>
  <si>
    <t xml:space="preserve">US12598145</t>
  </si>
  <si>
    <t xml:space="preserve">Image visualization based method to detect cobaltstrike beacon HTTP C2 communications</t>
  </si>
  <si>
    <t xml:space="preserve">US20260093692</t>
  </si>
  <si>
    <t xml:space="preserve">Foundation model-assisted multi-api interface for user query fulfillment</t>
  </si>
  <si>
    <t xml:space="preserve">US20260093819</t>
  </si>
  <si>
    <t xml:space="preserve">Automated llm data leakage detection via persuasive prompting</t>
  </si>
  <si>
    <t xml:space="preserve">WO2026069060A1</t>
  </si>
  <si>
    <t xml:space="preserve">Data sovereignty gateway for telemetry signals</t>
  </si>
  <si>
    <t xml:space="preserve">WO2026072134A1</t>
  </si>
  <si>
    <t xml:space="preserve">Structured queries on a structured knowledge base</t>
  </si>
  <si>
    <t xml:space="preserve">WO2026072135A1</t>
  </si>
  <si>
    <t xml:space="preserve">Fine-tuning language models for reasoning with counterfactual feedback</t>
  </si>
  <si>
    <t xml:space="preserve">WO2026073045A1</t>
  </si>
  <si>
    <t xml:space="preserve">Methods for automated certificate management environment (acme) certificate renewal in 5g service based architecture (sba)</t>
  </si>
  <si>
    <t xml:space="preserve">EP4276665B1</t>
  </si>
  <si>
    <t xml:space="preserve">Analyzing scripts to create and enforce security policies in dynamic development pipelines</t>
  </si>
  <si>
    <t xml:space="preserve">US20260087017</t>
  </si>
  <si>
    <t xml:space="preserve">Searching data based on processing node map identifiers</t>
  </si>
  <si>
    <t xml:space="preserve">US20260087144</t>
  </si>
  <si>
    <t xml:space="preserve">CPE Prediction Using Banner Similarity</t>
  </si>
  <si>
    <t xml:space="preserve">EP4500294B1</t>
  </si>
  <si>
    <t xml:space="preserve">Analog multiply-and-accumulate circuit aware training</t>
  </si>
  <si>
    <t xml:space="preserve">EP4562523B1</t>
  </si>
  <si>
    <t xml:space="preserve">Increasing security of a computer program using unstructured text</t>
  </si>
  <si>
    <t xml:space="preserve">CN121729864A</t>
  </si>
  <si>
    <t xml:space="preserve">Hierarchical representation model</t>
  </si>
  <si>
    <t xml:space="preserve">DE112024002358T5</t>
  </si>
  <si>
    <t xml:space="preserve">Monitoring and filtering of harmful domains using drift monitoring and context data</t>
  </si>
  <si>
    <t xml:space="preserve">DE</t>
  </si>
  <si>
    <t xml:space="preserve">US20260080102</t>
  </si>
  <si>
    <t xml:space="preserve">Large Byte Model</t>
  </si>
  <si>
    <t xml:space="preserve">US20260081956</t>
  </si>
  <si>
    <t xml:space="preserve">Inline detection of dictionary dga domain names with reduced cost and latency</t>
  </si>
  <si>
    <t xml:space="preserve">US12579275</t>
  </si>
  <si>
    <t xml:space="preserve">US20260072681</t>
  </si>
  <si>
    <t xml:space="preserve">Software development context history operations</t>
  </si>
  <si>
    <t xml:space="preserve">EP4708150A1</t>
  </si>
  <si>
    <t xml:space="preserve">Evaluating computational reasoning performance of generative artificial intelligence models</t>
  </si>
  <si>
    <t xml:space="preserve">US12572407</t>
  </si>
  <si>
    <t xml:space="preserve">Multi-instance generic operation pipeline</t>
  </si>
  <si>
    <t xml:space="preserve">2026-03-10</t>
  </si>
  <si>
    <t xml:space="preserve">US12572547</t>
  </si>
  <si>
    <t xml:space="preserve">Systems and methods for deployment of continuous access evaluation protocol (CAEP) hub engine</t>
  </si>
  <si>
    <t xml:space="preserve">US12572737</t>
  </si>
  <si>
    <t xml:space="preserve">Generative thought starters</t>
  </si>
  <si>
    <t xml:space="preserve">US20260064732</t>
  </si>
  <si>
    <t xml:space="preserve">Relevance based active learning for high quality retrieval augmented generation</t>
  </si>
  <si>
    <t xml:space="preserve">US20260064841</t>
  </si>
  <si>
    <t xml:space="preserve">Ai model-based data enrichment pipeline</t>
  </si>
  <si>
    <t xml:space="preserve">US20260065916</t>
  </si>
  <si>
    <t xml:space="preserve">Artificial intelligence powered deepfake detection filtering pipeline</t>
  </si>
  <si>
    <t xml:space="preserve">US20260067154</t>
  </si>
  <si>
    <t xml:space="preserve">Use of backup heartbeat signal to mitigate split-brain conditions</t>
  </si>
  <si>
    <t xml:space="preserve">US20260067306</t>
  </si>
  <si>
    <t xml:space="preserve">Methods to detect malicious stockpiled domain names</t>
  </si>
  <si>
    <t xml:space="preserve">US12566758</t>
  </si>
  <si>
    <t xml:space="preserve">Unified data processing across streaming and indexed data sets</t>
  </si>
  <si>
    <t xml:space="preserve">US12566852</t>
  </si>
  <si>
    <t xml:space="preserve">Nefarious code detection using semantic understanding</t>
  </si>
  <si>
    <t xml:space="preserve">US20260057288</t>
  </si>
  <si>
    <t xml:space="preserve">System and method for integrating ai assistant into any service</t>
  </si>
  <si>
    <t xml:space="preserve">US20260058895</t>
  </si>
  <si>
    <t xml:space="preserve">Automating whois parsing and understanding with generative artificial intelligence</t>
  </si>
  <si>
    <t xml:space="preserve">US20260058991</t>
  </si>
  <si>
    <t xml:space="preserve">In-path per-query sanitization to defeat dns tunneling</t>
  </si>
  <si>
    <t xml:space="preserve">US12563070</t>
  </si>
  <si>
    <t xml:space="preserve">Network traffic inspection using an aggregate control metric</t>
  </si>
  <si>
    <t xml:space="preserve">US20260052027</t>
  </si>
  <si>
    <t xml:space="preserve">Provisioning trusted execution environment(s) based on chain of trust including platform</t>
  </si>
  <si>
    <t xml:space="preserve">US20260052149</t>
  </si>
  <si>
    <t xml:space="preserve">Systems and methods for third-party agent broker automations</t>
  </si>
  <si>
    <t xml:space="preserve">US20260052160</t>
  </si>
  <si>
    <t xml:space="preserve">Tree-based learning of application programming interface specification</t>
  </si>
  <si>
    <t xml:space="preserve">US12554846</t>
  </si>
  <si>
    <t xml:space="preserve">Identifying atypical activity involving an entity in a computer system</t>
  </si>
  <si>
    <t xml:space="preserve">CN121526730A</t>
  </si>
  <si>
    <t xml:space="preserve">Product recommendation method and device, electronic equipment and medium</t>
  </si>
  <si>
    <t xml:space="preserve">US20260046302</t>
  </si>
  <si>
    <t xml:space="preserve">Adaptive resource and security optimization framework for machine learning as a service systems</t>
  </si>
  <si>
    <t xml:space="preserve">EP4689910A1</t>
  </si>
  <si>
    <t xml:space="preserve">Garbage collection thread composition adjustment</t>
  </si>
  <si>
    <t xml:space="preserve">EP4689937A1</t>
  </si>
  <si>
    <t xml:space="preserve">Classifying data items using regularised similarity values</t>
  </si>
  <si>
    <t xml:space="preserve">EP4689952A1</t>
  </si>
  <si>
    <t xml:space="preserve">Method and system for predicting malicious entities</t>
  </si>
  <si>
    <t xml:space="preserve">IN580269B</t>
  </si>
  <si>
    <t xml:space="preserve">Lock-free reading of unitary value sets</t>
  </si>
  <si>
    <t xml:space="preserve">2026-02-09</t>
  </si>
  <si>
    <t xml:space="preserve">KR102924753B1</t>
  </si>
  <si>
    <t xml:space="preserve">Efficient quantum adaptive execution methods for quantum circuits</t>
  </si>
  <si>
    <t xml:space="preserve">2026-02-06</t>
  </si>
  <si>
    <t xml:space="preserve">AU2025205598A1</t>
  </si>
  <si>
    <t xml:space="preserve">Method and device for determining security compliance of network infrastructure</t>
  </si>
  <si>
    <t xml:space="preserve">CISCO SYS AUSTRALIA PTY LTD</t>
  </si>
  <si>
    <t xml:space="preserve">US20260030241</t>
  </si>
  <si>
    <t xml:space="preserve">Automated generation of pairs of natural language questions and database queries</t>
  </si>
  <si>
    <t xml:space="preserve">US20260032171</t>
  </si>
  <si>
    <t xml:space="preserve">Zero Touch Policy Provisioning in Workload Protection Solutions</t>
  </si>
  <si>
    <t xml:space="preserve">US20260023740</t>
  </si>
  <si>
    <t xml:space="preserve">Operational metric support on a cloud-based observability platform</t>
  </si>
  <si>
    <t xml:space="preserve">US20260017268</t>
  </si>
  <si>
    <t xml:space="preserve">Dynamic query processor for streaming and batch queries</t>
  </si>
  <si>
    <t xml:space="preserve">US20260017592</t>
  </si>
  <si>
    <t xml:space="preserve">Entity-specific data analysis engine in a data intelligence system</t>
  </si>
  <si>
    <t xml:space="preserve">EP4677480A1</t>
  </si>
  <si>
    <t xml:space="preserve">Incorporating structured knowledge in neural networks</t>
  </si>
  <si>
    <t xml:space="preserve">US12524707</t>
  </si>
  <si>
    <t xml:space="preserve">System and method for improving machine learning models by detecting and removing inaccurate training data</t>
  </si>
  <si>
    <t xml:space="preserve">US20260012440</t>
  </si>
  <si>
    <t xml:space="preserve">Method for dynamically detecting changing saas apps traffic using ml and uri tokenization</t>
  </si>
  <si>
    <t xml:space="preserve">2026-01-08</t>
  </si>
  <si>
    <t xml:space="preserve">EP4675510A2</t>
  </si>
  <si>
    <t xml:space="preserve">Automated content tagging with latent dirichlet allocation of contextual word embeddings</t>
  </si>
  <si>
    <t xml:space="preserve">2026-01-07</t>
  </si>
  <si>
    <t xml:space="preserve">EP4078381B1</t>
  </si>
  <si>
    <t xml:space="preserve">Integrated reference and secondary marking</t>
  </si>
  <si>
    <t xml:space="preserve">US12518489</t>
  </si>
  <si>
    <t xml:space="preserve">Interactions in networked remote collaboration environments</t>
  </si>
  <si>
    <t xml:space="preserve">WO2026005846A1</t>
  </si>
  <si>
    <t xml:space="preserve">Iterative data processing optimization engine in a data intelligence system</t>
  </si>
  <si>
    <t xml:space="preserve">2026-01-02</t>
  </si>
  <si>
    <t xml:space="preserve">WO2026005852A1</t>
  </si>
  <si>
    <t xml:space="preserve">Data analysis pipeline engine in a data intelligence system</t>
  </si>
  <si>
    <t xml:space="preserve">IND468571001S</t>
  </si>
  <si>
    <t xml:space="preserve">Ai-based cloud security device for real-time threat detection</t>
  </si>
  <si>
    <t xml:space="preserve">C Preethi Assistant Professor Jr G</t>
  </si>
  <si>
    <t xml:space="preserve">C PREETHI ASSISTANT PROFESSOR JR G</t>
  </si>
  <si>
    <t xml:space="preserve">US20260006058</t>
  </si>
  <si>
    <t xml:space="preserve">Root domain benignity evaluation</t>
  </si>
  <si>
    <t xml:space="preserve">US20250390711</t>
  </si>
  <si>
    <t xml:space="preserve">Automatic rule induction using generative ai</t>
  </si>
  <si>
    <t xml:space="preserve">US20250390895</t>
  </si>
  <si>
    <t xml:space="preserve">Attention-based data-driven attribution</t>
  </si>
  <si>
    <t xml:space="preserve">EP4296872B1</t>
  </si>
  <si>
    <t xml:space="preserve">Distributed digital security system for predicting malicious behavior</t>
  </si>
  <si>
    <t xml:space="preserve">2025-12-24</t>
  </si>
  <si>
    <t xml:space="preserve">US12505594</t>
  </si>
  <si>
    <t xml:space="preserve">Streaming data visualizations</t>
  </si>
  <si>
    <t xml:space="preserve">US20250384132</t>
  </si>
  <si>
    <t xml:space="preserve">Detecting evasive prompts for generative artificial intelligence systems</t>
  </si>
  <si>
    <t xml:space="preserve">US20250377871</t>
  </si>
  <si>
    <t xml:space="preserve">Extensible software analysis architecture</t>
  </si>
  <si>
    <t xml:space="preserve">US20250378003</t>
  </si>
  <si>
    <t xml:space="preserve">Software analysis work allocation</t>
  </si>
  <si>
    <t xml:space="preserve">US20250378161</t>
  </si>
  <si>
    <t xml:space="preserve">Clustering and cluster tracking of categorical data</t>
  </si>
  <si>
    <t xml:space="preserve">US20250371184</t>
  </si>
  <si>
    <t xml:space="preserve">Systems, methods, and devices for protecting data in storage networks</t>
  </si>
  <si>
    <t xml:space="preserve">US20250371196</t>
  </si>
  <si>
    <t xml:space="preserve">Out-of-band file integrity check</t>
  </si>
  <si>
    <t xml:space="preserve">US20250373639</t>
  </si>
  <si>
    <t xml:space="preserve">Understanding the impact of a change prior to automatically remediating a detected issue</t>
  </si>
  <si>
    <t xml:space="preserve">US20250373640</t>
  </si>
  <si>
    <t xml:space="preserve">Adversarial training for malicious protocol data unit detection with field value perturbations</t>
  </si>
  <si>
    <t xml:space="preserve">US20250373665</t>
  </si>
  <si>
    <t xml:space="preserve">Exploring security rule chains in a security platform</t>
  </si>
  <si>
    <t xml:space="preserve">CN121056209A</t>
  </si>
  <si>
    <t xml:space="preserve">Log enrichment analysis method and device, computer equipment and storage medium</t>
  </si>
  <si>
    <t xml:space="preserve">2025-12-02</t>
  </si>
  <si>
    <t xml:space="preserve">US12487817</t>
  </si>
  <si>
    <t xml:space="preserve">Software development artifact name generation</t>
  </si>
  <si>
    <t xml:space="preserve">US20250362890</t>
  </si>
  <si>
    <t xml:space="preserve">Systems and methods for code generation</t>
  </si>
  <si>
    <t xml:space="preserve">US20250363775</t>
  </si>
  <si>
    <t xml:space="preserve">Geolocalizing oblique aerial imagery</t>
  </si>
  <si>
    <t xml:space="preserve">X DEV LLC</t>
  </si>
  <si>
    <t xml:space="preserve">US20250365314</t>
  </si>
  <si>
    <t xml:space="preserve">Creating complex honeynet environments with generative artificial intelligence</t>
  </si>
  <si>
    <t xml:space="preserve">US20250365464</t>
  </si>
  <si>
    <t xml:space="preserve">Multi-band multi-standard media receiver system and method of ‘on demand feature’ activation</t>
  </si>
  <si>
    <t xml:space="preserve">HARMAN BECKER AUTOMOTIVE SYS GMBH</t>
  </si>
  <si>
    <t xml:space="preserve">EP4315027B1</t>
  </si>
  <si>
    <t xml:space="preserve">Edit automation using a temporal edit pattern</t>
  </si>
  <si>
    <t xml:space="preserve">2025-11-26</t>
  </si>
  <si>
    <t xml:space="preserve">IN202441038468A</t>
  </si>
  <si>
    <t xml:space="preserve">Security log type classifaction with an artificial intelligence model</t>
  </si>
  <si>
    <t xml:space="preserve">2025-11-21</t>
  </si>
  <si>
    <t xml:space="preserve">WO2025239972A1</t>
  </si>
  <si>
    <t xml:space="preserve">Automated workflow creation using large language models</t>
  </si>
  <si>
    <t xml:space="preserve">EP4649415A1</t>
  </si>
  <si>
    <t xml:space="preserve">Member invocation declarative interception</t>
  </si>
  <si>
    <t xml:space="preserve">2025-11-19</t>
  </si>
  <si>
    <t xml:space="preserve">US12475222</t>
  </si>
  <si>
    <t xml:space="preserve">Method and apparatus for mapping similarity spaces</t>
  </si>
  <si>
    <t xml:space="preserve">US20250348594</t>
  </si>
  <si>
    <t xml:space="preserve">Predicting likely-vulnerable code changes using machine learning</t>
  </si>
  <si>
    <t xml:space="preserve">US20250350614</t>
  </si>
  <si>
    <t xml:space="preserve">Maintaining stable uniform resource locator verdicts with intelligent recrawling</t>
  </si>
  <si>
    <t xml:space="preserve">EP4407516B1</t>
  </si>
  <si>
    <t xml:space="preserve">Data-only decision validation models to update false predictions</t>
  </si>
  <si>
    <t xml:space="preserve">US12468619</t>
  </si>
  <si>
    <t xml:space="preserve">Method for adjusting computing device based on data fusion by obtaining operational health performance metrics and contemporaneous situational sensor data associated with the set of devices</t>
  </si>
  <si>
    <t xml:space="preserve">US20250343726</t>
  </si>
  <si>
    <t xml:space="preserve">Agentically-Orchestrated Foundational Models for Cloud Architecture Design</t>
  </si>
  <si>
    <t xml:space="preserve">US20250343728</t>
  </si>
  <si>
    <t xml:space="preserve">Agentically-Orchestrated Foundational Models for Cloud Architecture Development</t>
  </si>
  <si>
    <t xml:space="preserve">US20250335795</t>
  </si>
  <si>
    <t xml:space="preserve">Unstructured data extraction with large language models for query resolution</t>
  </si>
  <si>
    <t xml:space="preserve">US20250335811</t>
  </si>
  <si>
    <t xml:space="preserve">Noise addition for differential privacy with preservation of data utility</t>
  </si>
  <si>
    <t xml:space="preserve">US20250337614</t>
  </si>
  <si>
    <t xml:space="preserve">Zero-trust network access with user datagram protocol message forwarding</t>
  </si>
  <si>
    <t xml:space="preserve">US20250337649</t>
  </si>
  <si>
    <t xml:space="preserve">Systems and Methods for Enforcement Readiness Verification</t>
  </si>
  <si>
    <t xml:space="preserve">US20250337668</t>
  </si>
  <si>
    <t xml:space="preserve">Systems and methods for network monitoring of a network using supervised machine learning and reinforcement learning</t>
  </si>
  <si>
    <t xml:space="preserve">GB2640490A</t>
  </si>
  <si>
    <t xml:space="preserve">Determination of user operations at a data processing system</t>
  </si>
  <si>
    <t xml:space="preserve">US20250328323</t>
  </si>
  <si>
    <t xml:space="preserve">Program dependent component amalgamation</t>
  </si>
  <si>
    <t xml:space="preserve">US20250328513</t>
  </si>
  <si>
    <t xml:space="preserve">Generating interim processing node maps</t>
  </si>
  <si>
    <t xml:space="preserve">US20250330528</t>
  </si>
  <si>
    <t xml:space="preserve">Performing data categorization by an end-user device</t>
  </si>
  <si>
    <t xml:space="preserve">EP4352588B1</t>
  </si>
  <si>
    <t xml:space="preserve">Clock monitor</t>
  </si>
  <si>
    <t xml:space="preserve">2025-10-22</t>
  </si>
  <si>
    <t xml:space="preserve">US12452264</t>
  </si>
  <si>
    <t xml:space="preserve">Hierarchical event representation in extended detection and response systems</t>
  </si>
  <si>
    <t xml:space="preserve">US20250321852</t>
  </si>
  <si>
    <t xml:space="preserve">Dynamic model selection and routing using prompt processing units</t>
  </si>
  <si>
    <t xml:space="preserve">US12443589</t>
  </si>
  <si>
    <t xml:space="preserve">Correlating different types of data of a distributed ledger system</t>
  </si>
  <si>
    <t xml:space="preserve">US12445487</t>
  </si>
  <si>
    <t xml:space="preserve">Anti-phishing based on wrong flow detection</t>
  </si>
  <si>
    <t xml:space="preserve">US20250315219</t>
  </si>
  <si>
    <t xml:space="preserve">Buildless dependency fetching</t>
  </si>
  <si>
    <t xml:space="preserve">US20250315454</t>
  </si>
  <si>
    <t xml:space="preserve">User interface for technology add-on content</t>
  </si>
  <si>
    <t xml:space="preserve">US20250317467</t>
  </si>
  <si>
    <t xml:space="preserve">Systems and methods for training machine-learning models on attack paths</t>
  </si>
  <si>
    <t xml:space="preserve">US20250298851</t>
  </si>
  <si>
    <t xml:space="preserve">User interface navigation for web applications with retrieval-augmented generation</t>
  </si>
  <si>
    <t xml:space="preserve">EP4619862A1</t>
  </si>
  <si>
    <t xml:space="preserve">Multicell document editor minimoremap</t>
  </si>
  <si>
    <t xml:space="preserve">2025-09-24</t>
  </si>
  <si>
    <t xml:space="preserve">US20250292015</t>
  </si>
  <si>
    <t xml:space="preserve">Generative artificial intelligence response caching using prompt processing units</t>
  </si>
  <si>
    <t xml:space="preserve">EP4052130B1</t>
  </si>
  <si>
    <t xml:space="preserve">Selectively throttling implementation of configuration changes in an enterprise</t>
  </si>
  <si>
    <t xml:space="preserve">2025-09-17</t>
  </si>
  <si>
    <t xml:space="preserve">WO2025188877A1</t>
  </si>
  <si>
    <t xml:space="preserve">Dialectical generative agent architecture</t>
  </si>
  <si>
    <t xml:space="preserve">Regrello Corp</t>
  </si>
  <si>
    <t xml:space="preserve">REGRELLO CORP</t>
  </si>
  <si>
    <t xml:space="preserve">US20250284797</t>
  </si>
  <si>
    <t xml:space="preserve">Attacker-focused granular action disruption</t>
  </si>
  <si>
    <t xml:space="preserve">US20250278475</t>
  </si>
  <si>
    <t xml:space="preserve">Enhancing insider attack detection via image classification with non-dynamic information</t>
  </si>
  <si>
    <t xml:space="preserve">US20250280022</t>
  </si>
  <si>
    <t xml:space="preserve">Method for detecting unmanaged cloud applications</t>
  </si>
  <si>
    <t xml:space="preserve">IND461893001S</t>
  </si>
  <si>
    <t xml:space="preserve">Ai-based data processing device for cybersecurity</t>
  </si>
  <si>
    <t xml:space="preserve">2025-08-29</t>
  </si>
  <si>
    <t xml:space="preserve">Dr Sateesh Nagavarapu Assoc Professor</t>
  </si>
  <si>
    <t xml:space="preserve">DR SATEESH NAGAVARAPU ASSOC PROFESSOR</t>
  </si>
  <si>
    <t xml:space="preserve">US20250272338</t>
  </si>
  <si>
    <t xml:space="preserve">Providing groups of events to a message bus based on size</t>
  </si>
  <si>
    <t xml:space="preserve">US12399913</t>
  </si>
  <si>
    <t xml:space="preserve">Versioned connectors for data ingestion from distributed ledger systems</t>
  </si>
  <si>
    <t xml:space="preserve">US12400233</t>
  </si>
  <si>
    <t xml:space="preserve">Risk analysis using risk definition relationships</t>
  </si>
  <si>
    <t xml:space="preserve">US20250265056</t>
  </si>
  <si>
    <t xml:space="preserve">Systems, methods, and computer-readable media for thinning bloated containers</t>
  </si>
  <si>
    <t xml:space="preserve">WO2025174601A1</t>
  </si>
  <si>
    <t xml:space="preserve">Enabling device context awareness, data ingestion and real-time actions in mobile networks</t>
  </si>
  <si>
    <t xml:space="preserve">US12393861</t>
  </si>
  <si>
    <t xml:space="preserve">Systems and methods for securing untrusted code</t>
  </si>
  <si>
    <t xml:space="preserve">US12395573</t>
  </si>
  <si>
    <t xml:space="preserve">Monitoring communications in a containerized environment</t>
  </si>
  <si>
    <t xml:space="preserve">US20250260714</t>
  </si>
  <si>
    <t xml:space="preserve">Systems and methods for transmission and scanning of electronic messages</t>
  </si>
  <si>
    <t xml:space="preserve">2025-08-14</t>
  </si>
  <si>
    <t xml:space="preserve">US12386965</t>
  </si>
  <si>
    <t xml:space="preserve">Entropy-based preemptive false positive mitigation</t>
  </si>
  <si>
    <t xml:space="preserve">CN120452062A</t>
  </si>
  <si>
    <t xml:space="preserve">Method, device, equipment and storage medium for detecting unsupervised abnormal behavior</t>
  </si>
  <si>
    <t xml:space="preserve">2025-08-08</t>
  </si>
  <si>
    <t xml:space="preserve">US20250251986</t>
  </si>
  <si>
    <t xml:space="preserve">Prompt observability and estimated productivity gain insights using prompt processing units</t>
  </si>
  <si>
    <t xml:space="preserve">WO2025165621A1</t>
  </si>
  <si>
    <t xml:space="preserve">Generating bounding boxes for geolocalizing oblique aerial imagery</t>
  </si>
  <si>
    <t xml:space="preserve">GB2637695A</t>
  </si>
  <si>
    <t xml:space="preserve">Systems and methods for optimizing hyperparameters for machine learning models</t>
  </si>
  <si>
    <t xml:space="preserve">2025-08-06</t>
  </si>
  <si>
    <t xml:space="preserve">US12380220</t>
  </si>
  <si>
    <t xml:space="preserve">Automated attribute scraping for security feature implementation prediction</t>
  </si>
  <si>
    <t xml:space="preserve">EP4587915A1</t>
  </si>
  <si>
    <t xml:space="preserve">Software development quality assessment</t>
  </si>
  <si>
    <t xml:space="preserve">2025-07-23</t>
  </si>
  <si>
    <t xml:space="preserve">US12367424</t>
  </si>
  <si>
    <t xml:space="preserve">Data prefiltering for large scale data classification</t>
  </si>
  <si>
    <t xml:space="preserve">US20250233875</t>
  </si>
  <si>
    <t xml:space="preserve">Operational Prediction on User-Based Contextual Sessions</t>
  </si>
  <si>
    <t xml:space="preserve">TW202528937A</t>
  </si>
  <si>
    <t xml:space="preserve">Searching through candidate computer programs for performing a task using a language model neural network</t>
  </si>
  <si>
    <t xml:space="preserve">TW</t>
  </si>
  <si>
    <t xml:space="preserve">DEEPMIND TECH LTD</t>
  </si>
  <si>
    <t xml:space="preserve">US12363163</t>
  </si>
  <si>
    <t xml:space="preserve">NLP based identification of cyberattack classifications</t>
  </si>
  <si>
    <t xml:space="preserve">IN202411001123A</t>
  </si>
  <si>
    <t xml:space="preserve">Generative ai for explainable ai</t>
  </si>
  <si>
    <t xml:space="preserve">2025-07-11</t>
  </si>
  <si>
    <t xml:space="preserve">US20250225135</t>
  </si>
  <si>
    <t xml:space="preserve">Executing commands from a distributed execution model</t>
  </si>
  <si>
    <t xml:space="preserve">US20250225183</t>
  </si>
  <si>
    <t xml:space="preserve">Generation Of Graph-Based Dense Representations Of Events Of A Nodal Graph Through Deployment Of A Neural Network</t>
  </si>
  <si>
    <t xml:space="preserve">US20250218142</t>
  </si>
  <si>
    <t xml:space="preserve">Codeless anchor generation for three-dimensional object models</t>
  </si>
  <si>
    <t xml:space="preserve">US20250219904</t>
  </si>
  <si>
    <t xml:space="preserve">Single pane policy &amp; day one configuration</t>
  </si>
  <si>
    <t xml:space="preserve">US20250220034</t>
  </si>
  <si>
    <t xml:space="preserve">Systems and methods for detecting visually similar emails</t>
  </si>
  <si>
    <t xml:space="preserve">KR102827638B1</t>
  </si>
  <si>
    <t xml:space="preserve">2025-06-30</t>
  </si>
  <si>
    <t xml:space="preserve">US20250200032</t>
  </si>
  <si>
    <t xml:space="preserve">Global search of a security related data store using natural language processing</t>
  </si>
  <si>
    <t xml:space="preserve">US20250202973</t>
  </si>
  <si>
    <t xml:space="preserve">Use of ephemeral workloads to monitor compute environments</t>
  </si>
  <si>
    <t xml:space="preserve">US12335300</t>
  </si>
  <si>
    <t xml:space="preserve">Rules generation to prioritize computer network devices</t>
  </si>
  <si>
    <t xml:space="preserve">US20250190768</t>
  </si>
  <si>
    <t xml:space="preserve">Generative neural application engine</t>
  </si>
  <si>
    <t xml:space="preserve">US20250193246</t>
  </si>
  <si>
    <t xml:space="preserve">Security rule conversion and performance evaluation</t>
  </si>
  <si>
    <t xml:space="preserve">US20250182051</t>
  </si>
  <si>
    <t xml:space="preserve">Software bill of materials telemetry extensions for full stack observability</t>
  </si>
  <si>
    <t xml:space="preserve">US20250173168</t>
  </si>
  <si>
    <t xml:space="preserve">Application Onboarding Within Workload Protection Solutions</t>
  </si>
  <si>
    <t xml:space="preserve">EP4558901A1</t>
  </si>
  <si>
    <t xml:space="preserve">Garbage collection prefetching state machine</t>
  </si>
  <si>
    <t xml:space="preserve">US12299508</t>
  </si>
  <si>
    <t xml:space="preserve">Indexing data at a data intake and query system based on a node capacity threshold</t>
  </si>
  <si>
    <t xml:space="preserve">US20250148375</t>
  </si>
  <si>
    <t xml:space="preserve">Unified parked domain detection system</t>
  </si>
  <si>
    <t xml:space="preserve">EP4235438B1</t>
  </si>
  <si>
    <t xml:space="preserve">Assessing applications for delivery via an application delivery server</t>
  </si>
  <si>
    <t xml:space="preserve">EP4544464A1</t>
  </si>
  <si>
    <t xml:space="preserve">Automatic thresholding for classification models</t>
  </si>
  <si>
    <t xml:space="preserve">2025-04-30</t>
  </si>
  <si>
    <t xml:space="preserve">US20250130911</t>
  </si>
  <si>
    <t xml:space="preserve">Hybrid agent strategy for full stack observability</t>
  </si>
  <si>
    <t xml:space="preserve">US12282500</t>
  </si>
  <si>
    <t xml:space="preserve">Providing completion recommendation variations for a partial natural language request</t>
  </si>
  <si>
    <t xml:space="preserve">US12282988</t>
  </si>
  <si>
    <t xml:space="preserve">Automated generation of display layouts</t>
  </si>
  <si>
    <t xml:space="preserve">US20250111203</t>
  </si>
  <si>
    <t xml:space="preserve">Tier-based few shot generation</t>
  </si>
  <si>
    <t xml:space="preserve">US20250106307</t>
  </si>
  <si>
    <t xml:space="preserve">Virtual private cloud user interface</t>
  </si>
  <si>
    <t xml:space="preserve">WO2025061408A1</t>
  </si>
  <si>
    <t xml:space="preserve">Dynamic adaptation of backup policy schemes based on threat confidence</t>
  </si>
  <si>
    <t xml:space="preserve">US20250094863</t>
  </si>
  <si>
    <t xml:space="preserve">Efficient optimization of machine learning performance</t>
  </si>
  <si>
    <t xml:space="preserve">US12253910</t>
  </si>
  <si>
    <t xml:space="preserve">Systems, methods, and computer readable media for intelligent mutating admission webhook</t>
  </si>
  <si>
    <t xml:space="preserve">2025-03-18</t>
  </si>
  <si>
    <t xml:space="preserve">US20250085945</t>
  </si>
  <si>
    <t xml:space="preserve">Source Code Similarity</t>
  </si>
  <si>
    <t xml:space="preserve">WO2025051549A1</t>
  </si>
  <si>
    <t xml:space="preserve">Artificial intelligence simulation of operating systems and command-line-interfaces for operating systems</t>
  </si>
  <si>
    <t xml:space="preserve">WO2025051551A1</t>
  </si>
  <si>
    <t xml:space="preserve">Data leakage protection using generative large language models</t>
  </si>
  <si>
    <t xml:space="preserve">US12248855</t>
  </si>
  <si>
    <t xml:space="preserve">Iterative vectoring for constructing data driven machine learning models</t>
  </si>
  <si>
    <t xml:space="preserve">2025-03-11</t>
  </si>
  <si>
    <t xml:space="preserve">US20250074355</t>
  </si>
  <si>
    <t xml:space="preserve">Chip Architecture</t>
  </si>
  <si>
    <t xml:space="preserve">2025-03-06</t>
  </si>
  <si>
    <t xml:space="preserve">US20250077619</t>
  </si>
  <si>
    <t xml:space="preserve">Embedding Entity Matching</t>
  </si>
  <si>
    <t xml:space="preserve">US20250080556</t>
  </si>
  <si>
    <t xml:space="preserve">Large language model (llm) guided robust learning system design for c2 detection</t>
  </si>
  <si>
    <t xml:space="preserve">US12242892</t>
  </si>
  <si>
    <t xml:space="preserve">Implementation of a data processing pipeline using assignable resources and pre-configured resources</t>
  </si>
  <si>
    <t xml:space="preserve">2025-03-04</t>
  </si>
  <si>
    <t xml:space="preserve">US12229229</t>
  </si>
  <si>
    <t xml:space="preserve">Systems and methods for adding watermarks using an embedded browser</t>
  </si>
  <si>
    <t xml:space="preserve">2025-02-18</t>
  </si>
  <si>
    <t xml:space="preserve">US20250047701</t>
  </si>
  <si>
    <t xml:space="preserve">Asset security and risk posture visualization</t>
  </si>
  <si>
    <t xml:space="preserve">US20250036614</t>
  </si>
  <si>
    <t xml:space="preserve">Systems and methods for providing confidence in an oracle</t>
  </si>
  <si>
    <t xml:space="preserve">US20250037144</t>
  </si>
  <si>
    <t xml:space="preserve">Recommending Configurable Controls to an Entity</t>
  </si>
  <si>
    <t xml:space="preserve">US12205022</t>
  </si>
  <si>
    <t xml:space="preserve">Data field extraction by a data intake and query system</t>
  </si>
  <si>
    <t xml:space="preserve">US20250021650</t>
  </si>
  <si>
    <t xml:space="preserve">Smart notification for structured and unstructured data</t>
  </si>
  <si>
    <t xml:space="preserve">US12199996</t>
  </si>
  <si>
    <t xml:space="preserve">Confidence scoring for detectors used to detect anomalous behavior</t>
  </si>
  <si>
    <t xml:space="preserve">EP4487207A1</t>
  </si>
  <si>
    <t xml:space="preserve">Source code merge conflict resolution</t>
  </si>
  <si>
    <t xml:space="preserve">US12189577</t>
  </si>
  <si>
    <t xml:space="preserve">Multi-modal data storage volume regulation</t>
  </si>
  <si>
    <t xml:space="preserve">US20250005149</t>
  </si>
  <si>
    <t xml:space="preserve">Federated Privacy-Preserving Nearest-Neighbor Search (NNS)-Based Label Propagation on Shared Embedding Space</t>
  </si>
  <si>
    <t xml:space="preserve">US20250007930</t>
  </si>
  <si>
    <t xml:space="preserve">Generic learning approach for the cross-framework detection of http c2 traffics</t>
  </si>
  <si>
    <t xml:space="preserve">EP4275116B1</t>
  </si>
  <si>
    <t xml:space="preserve">Contextual assistance and interactive documentation</t>
  </si>
  <si>
    <t xml:space="preserve">US12181956</t>
  </si>
  <si>
    <t xml:space="preserve">Machine-learning based prioritization of alert groupings</t>
  </si>
  <si>
    <t xml:space="preserve">US12182151</t>
  </si>
  <si>
    <t xml:space="preserve">Framework for managing dynamic configurations of data intake and query systems deployed in remote computing environments</t>
  </si>
  <si>
    <t xml:space="preserve">US12182169</t>
  </si>
  <si>
    <t xml:space="preserve">Systems and methods for machine-learning based alert grouping including temporal constraints</t>
  </si>
  <si>
    <t xml:space="preserve">US12182209</t>
  </si>
  <si>
    <t xml:space="preserve">Techniques for placing content in and applying layers in an extended reality environment</t>
  </si>
  <si>
    <t xml:space="preserve">EP4479889A1</t>
  </si>
  <si>
    <t xml:space="preserve">Drift detection using an autoencoder with weighted loss</t>
  </si>
  <si>
    <t xml:space="preserve">2024-12-25</t>
  </si>
  <si>
    <t xml:space="preserve">US12164402</t>
  </si>
  <si>
    <t xml:space="preserve">Deactivating a processing node based on assignment of a data group assigned to the processing node</t>
  </si>
  <si>
    <t xml:space="preserve">2024-12-10</t>
  </si>
  <si>
    <t xml:space="preserve">US12164522</t>
  </si>
  <si>
    <t xml:space="preserve">Metric processing for streaming machine learning applications</t>
  </si>
  <si>
    <t xml:space="preserve">US12164524</t>
  </si>
  <si>
    <t xml:space="preserve">User interface for customizing data streams and processing pipelines</t>
  </si>
  <si>
    <t xml:space="preserve">US20240403694</t>
  </si>
  <si>
    <t xml:space="preserve">Group recommendation based on topic clustering</t>
  </si>
  <si>
    <t xml:space="preserve">US12153481</t>
  </si>
  <si>
    <t xml:space="preserve">Real-time machine learning at an edge of a distributed network</t>
  </si>
  <si>
    <t xml:space="preserve">2024-11-26</t>
  </si>
  <si>
    <t xml:space="preserve">US20240386066</t>
  </si>
  <si>
    <t xml:space="preserve">Generative knowledge search engine for multi-query enabled network knowledge completion</t>
  </si>
  <si>
    <t xml:space="preserve">2024-11-21</t>
  </si>
  <si>
    <t xml:space="preserve">US12141426</t>
  </si>
  <si>
    <t xml:space="preserve">Object interaction via extended reality</t>
  </si>
  <si>
    <t xml:space="preserve">US12136174</t>
  </si>
  <si>
    <t xml:space="preserve">Generating extended reality overlays in an industrial environment</t>
  </si>
  <si>
    <t xml:space="preserve">EP4147123B1</t>
  </si>
  <si>
    <t xml:space="preserve">Source code text replacement by example</t>
  </si>
  <si>
    <t xml:space="preserve">2024-10-30</t>
  </si>
  <si>
    <t xml:space="preserve">US12130938</t>
  </si>
  <si>
    <t xml:space="preserve">Data product release method or system</t>
  </si>
  <si>
    <t xml:space="preserve">Privitar Ltd</t>
  </si>
  <si>
    <t xml:space="preserve">PRIVITAR LTD</t>
  </si>
  <si>
    <t xml:space="preserve">US12131233</t>
  </si>
  <si>
    <t xml:space="preserve">Systems and methods for auto-deployment of a machine learning component within a pipelined search query</t>
  </si>
  <si>
    <t xml:space="preserve">EP4179422B1</t>
  </si>
  <si>
    <t xml:space="preserve">Software development autocreated suggestion provenance</t>
  </si>
  <si>
    <t xml:space="preserve">US20240348629</t>
  </si>
  <si>
    <t xml:space="preserve">System and Method for Automatically Associating Cybersecutiry Intelligence to Cyberthreat Actors</t>
  </si>
  <si>
    <t xml:space="preserve">2024-10-17</t>
  </si>
  <si>
    <t xml:space="preserve">US12118334</t>
  </si>
  <si>
    <t xml:space="preserve">Determination of schema compatibility between neighboring operators within a search query statement</t>
  </si>
  <si>
    <t xml:space="preserve">US12112010</t>
  </si>
  <si>
    <t xml:space="preserve">Data visualization in an extended reality environment</t>
  </si>
  <si>
    <t xml:space="preserve">US12113856</t>
  </si>
  <si>
    <t xml:space="preserve">Systems and methods for detecting associated webpages and initiating an automated deletion event</t>
  </si>
  <si>
    <t xml:space="preserve">US20240311445</t>
  </si>
  <si>
    <t xml:space="preserve">Method and Apparatus for Evaluating Similarity Between Files</t>
  </si>
  <si>
    <t xml:space="preserve">2024-09-19</t>
  </si>
  <si>
    <t xml:space="preserve">US12095822</t>
  </si>
  <si>
    <t xml:space="preserve">Systems and methods for responsible intermediation of privacy policies</t>
  </si>
  <si>
    <t xml:space="preserve">2024-09-17</t>
  </si>
  <si>
    <t xml:space="preserve">US12086451</t>
  </si>
  <si>
    <t xml:space="preserve">Automated downscaling of data stores</t>
  </si>
  <si>
    <t xml:space="preserve">US12079175</t>
  </si>
  <si>
    <t xml:space="preserve">Streaming synthesis of distributed traces from machine logs</t>
  </si>
  <si>
    <t xml:space="preserve">2024-09-03</t>
  </si>
  <si>
    <t xml:space="preserve">EP3854061B1</t>
  </si>
  <si>
    <t xml:space="preserve">Systems and methods for maintaining and transferring saas session state</t>
  </si>
  <si>
    <t xml:space="preserve">2024-08-28</t>
  </si>
  <si>
    <t xml:space="preserve">US12066910</t>
  </si>
  <si>
    <t xml:space="preserve">Reinforcement learning based group testing</t>
  </si>
  <si>
    <t xml:space="preserve">US12069082</t>
  </si>
  <si>
    <t xml:space="preserve">Interpreting and remediating network risk using machine learning</t>
  </si>
  <si>
    <t xml:space="preserve">KR102692100B1</t>
  </si>
  <si>
    <t xml:space="preserve">Add adversarial robustness to trained machine learning models</t>
  </si>
  <si>
    <t xml:space="preserve">2024-08-05</t>
  </si>
  <si>
    <t xml:space="preserve">EP3652922B1</t>
  </si>
  <si>
    <t xml:space="preserve">Systems and methods for intercepting and enhancing saas application calls via embedded browser</t>
  </si>
  <si>
    <t xml:space="preserve">2024-07-31</t>
  </si>
  <si>
    <t xml:space="preserve">US12050597</t>
  </si>
  <si>
    <t xml:space="preserve">Search-time field extraction in a data intake and query system</t>
  </si>
  <si>
    <t xml:space="preserve">US20240248962</t>
  </si>
  <si>
    <t xml:space="preserve">Insufficient content detection with machine learning ensemble</t>
  </si>
  <si>
    <t xml:space="preserve">US20240250958</t>
  </si>
  <si>
    <t xml:space="preserve">Hybrid message passing neural network and personalized page ranking graph convolution network model</t>
  </si>
  <si>
    <t xml:space="preserve">US12045589</t>
  </si>
  <si>
    <t xml:space="preserve">Software development improvement stage optimization</t>
  </si>
  <si>
    <t xml:space="preserve">2024-07-23</t>
  </si>
  <si>
    <t xml:space="preserve">US12047450</t>
  </si>
  <si>
    <t xml:space="preserve">Management of connected sensor devices</t>
  </si>
  <si>
    <t xml:space="preserve">US12039304</t>
  </si>
  <si>
    <t xml:space="preserve">Syntax subtree code strengthening</t>
  </si>
  <si>
    <t xml:space="preserve">2024-07-16</t>
  </si>
  <si>
    <t xml:space="preserve">US12039310</t>
  </si>
  <si>
    <t xml:space="preserve">Information technology networked entity monitoring with metric selection</t>
  </si>
  <si>
    <t xml:space="preserve">US12032634</t>
  </si>
  <si>
    <t xml:space="preserve">Graph reclustering based on different clustering criteria</t>
  </si>
  <si>
    <t xml:space="preserve">2024-07-09</t>
  </si>
  <si>
    <t xml:space="preserve">US20240220630</t>
  </si>
  <si>
    <t xml:space="preserve">Typosquatting detection via metadata-based trustworthiness scoring and package identifier similarity</t>
  </si>
  <si>
    <t xml:space="preserve">2024-07-04</t>
  </si>
  <si>
    <t xml:space="preserve">EP4046025B1</t>
  </si>
  <si>
    <t xml:space="preserve">Enhanced concurrency garbage collection stack scanning</t>
  </si>
  <si>
    <t xml:space="preserve">2024-06-26</t>
  </si>
  <si>
    <t xml:space="preserve">US12019858</t>
  </si>
  <si>
    <t xml:space="preserve">Generating new visualizations based on prior journey definitions</t>
  </si>
  <si>
    <t xml:space="preserve">2024-06-25</t>
  </si>
  <si>
    <t xml:space="preserve">US12019939</t>
  </si>
  <si>
    <t xml:space="preserve">Control of a display device included in a display grid</t>
  </si>
  <si>
    <t xml:space="preserve">US12020077</t>
  </si>
  <si>
    <t xml:space="preserve">Autoscaling in a stateful system</t>
  </si>
  <si>
    <t xml:space="preserve">US12015629</t>
  </si>
  <si>
    <t xml:space="preserve">Tailored network risk analysis using deep learning modeling</t>
  </si>
  <si>
    <t xml:space="preserve">US12007996</t>
  </si>
  <si>
    <t xml:space="preserve">Management of distributed computing framework components</t>
  </si>
  <si>
    <t xml:space="preserve">EP3850816B1</t>
  </si>
  <si>
    <t xml:space="preserve">Application scripts for cross-domain applications</t>
  </si>
  <si>
    <t xml:space="preserve">US12001426</t>
  </si>
  <si>
    <t xml:space="preserve">Supporting graph data structure transformations in graphs generated from a query to event data</t>
  </si>
  <si>
    <t xml:space="preserve">EP3814949B1</t>
  </si>
  <si>
    <t xml:space="preserve">Security configuration lifecycle account protection for minors</t>
  </si>
  <si>
    <t xml:space="preserve">US11995381</t>
  </si>
  <si>
    <t xml:space="preserve">Two-tier capacity planning</t>
  </si>
  <si>
    <t xml:space="preserve">US11995421</t>
  </si>
  <si>
    <t xml:space="preserve">Register allocation heuristics order</t>
  </si>
  <si>
    <t xml:space="preserve">US11989592</t>
  </si>
  <si>
    <t xml:space="preserve">Workload coordinator for providing state credentials to processing tasks of a data processing pipeline</t>
  </si>
  <si>
    <t xml:space="preserve">2024-05-21</t>
  </si>
  <si>
    <t xml:space="preserve">WO2024102267A1</t>
  </si>
  <si>
    <t xml:space="preserve">User interface mode control for suggestion review</t>
  </si>
  <si>
    <t xml:space="preserve">2024-05-16</t>
  </si>
  <si>
    <t xml:space="preserve">US11977712</t>
  </si>
  <si>
    <t xml:space="preserve">Systems and methods for contextual and administrator controlled browser control bar</t>
  </si>
  <si>
    <t xml:space="preserve">US20240144269</t>
  </si>
  <si>
    <t xml:space="preserve">Dynamic tracing of document data leaks via application instrumentation</t>
  </si>
  <si>
    <t xml:space="preserve">US11966426</t>
  </si>
  <si>
    <t xml:space="preserve">Non-tabular datasource connector</t>
  </si>
  <si>
    <t xml:space="preserve">2024-04-23</t>
  </si>
  <si>
    <t xml:space="preserve">EP4352720A1</t>
  </si>
  <si>
    <t xml:space="preserve">Adaptive recoloring</t>
  </si>
  <si>
    <t xml:space="preserve">2024-04-17</t>
  </si>
  <si>
    <t xml:space="preserve">US11960575</t>
  </si>
  <si>
    <t xml:space="preserve">Data processing for machine learning using a graphical user interface</t>
  </si>
  <si>
    <t xml:space="preserve">2024-04-16</t>
  </si>
  <si>
    <t xml:space="preserve">US11954127</t>
  </si>
  <si>
    <t xml:space="preserve">Determining affinities for data set summarizations</t>
  </si>
  <si>
    <t xml:space="preserve">US11947556</t>
  </si>
  <si>
    <t xml:space="preserve">Computerized monitoring of a metric through execution of a search query, determining a root cause of the behavior, and providing a notification thereof</t>
  </si>
  <si>
    <t xml:space="preserve">US11947988</t>
  </si>
  <si>
    <t xml:space="preserve">Load balancer bypass for direct ingestion of data into a data intake and query system</t>
  </si>
  <si>
    <t xml:space="preserve">US11941372</t>
  </si>
  <si>
    <t xml:space="preserve">Edit automation using an anchor target list</t>
  </si>
  <si>
    <t xml:space="preserve">US20240095350</t>
  </si>
  <si>
    <t xml:space="preserve">Threat management system for identifying and performing actions on cybersecurity top threats</t>
  </si>
  <si>
    <t xml:space="preserve">US11934256</t>
  </si>
  <si>
    <t xml:space="preserve">Determining ingestion latency of data intake and query system instances</t>
  </si>
  <si>
    <t xml:space="preserve">2024-03-19</t>
  </si>
  <si>
    <t xml:space="preserve">US11934801</t>
  </si>
  <si>
    <t xml:space="preserve">Multi-modal program inference</t>
  </si>
  <si>
    <t xml:space="preserve">US11936545</t>
  </si>
  <si>
    <t xml:space="preserve">Systems and methods for detecting beaconing communications in aggregated traffic data</t>
  </si>
  <si>
    <t xml:space="preserve">US20240086187</t>
  </si>
  <si>
    <t xml:space="preserve">Source Code Programming Language Prediction for a Text File</t>
  </si>
  <si>
    <t xml:space="preserve">2024-03-14</t>
  </si>
  <si>
    <t xml:space="preserve">US11921720</t>
  </si>
  <si>
    <t xml:space="preserve">Systems and methods for decoupling search processing language and machine learning analytics from storage of accessed data</t>
  </si>
  <si>
    <t xml:space="preserve">US11922195</t>
  </si>
  <si>
    <t xml:space="preserve">Embeddable notebook access support</t>
  </si>
  <si>
    <t xml:space="preserve">US11924021</t>
  </si>
  <si>
    <t xml:space="preserve">Actionable event responder architecture</t>
  </si>
  <si>
    <t xml:space="preserve">US20240070180</t>
  </si>
  <si>
    <t xml:space="preserve">Mutation-Responsive Documentation Regeneration Based on Knowledge Base</t>
  </si>
  <si>
    <t xml:space="preserve">2024-02-29</t>
  </si>
  <si>
    <t xml:space="preserve">EP4327234A1</t>
  </si>
  <si>
    <t xml:space="preserve">Provisional selection drives edit suggestion generation</t>
  </si>
  <si>
    <t xml:space="preserve">2024-02-28</t>
  </si>
  <si>
    <t xml:space="preserve">US11914655</t>
  </si>
  <si>
    <t xml:space="preserve">Mutation-responsive documentation generation based on knowledge base</t>
  </si>
  <si>
    <t xml:space="preserve">2024-02-27</t>
  </si>
  <si>
    <t xml:space="preserve">EP3864826B1</t>
  </si>
  <si>
    <t xml:space="preserve">Systems and methods for traffic optimization via system on chip of intermediary device</t>
  </si>
  <si>
    <t xml:space="preserve">2024-02-21</t>
  </si>
  <si>
    <t xml:space="preserve">US20240056486</t>
  </si>
  <si>
    <t xml:space="preserve">Resource policy adjustment based on data characterization</t>
  </si>
  <si>
    <t xml:space="preserve">2024-02-15</t>
  </si>
  <si>
    <t xml:space="preserve">EP4315120A1</t>
  </si>
  <si>
    <t xml:space="preserve">Malicious pattern identification in clusters of data items</t>
  </si>
  <si>
    <t xml:space="preserve">2024-02-07</t>
  </si>
  <si>
    <t xml:space="preserve">US11892976</t>
  </si>
  <si>
    <t xml:space="preserve">Enhanced search performance using data model summaries stored in a remote data store</t>
  </si>
  <si>
    <t xml:space="preserve">US11893123</t>
  </si>
  <si>
    <t xml:space="preserve">Systems and methods for screenshot mediation based on policy</t>
  </si>
  <si>
    <t xml:space="preserve">US11893296</t>
  </si>
  <si>
    <t xml:space="preserve">Notification interface on a wearable device for data alerts</t>
  </si>
  <si>
    <t xml:space="preserve">US11893703</t>
  </si>
  <si>
    <t xml:space="preserve">Precise manipulation of virtual object position in an extended reality environment</t>
  </si>
  <si>
    <t xml:space="preserve">US20240037158</t>
  </si>
  <si>
    <t xml:space="preserve">Method to classify compliance protocols for saas apps based on web page content</t>
  </si>
  <si>
    <t xml:space="preserve">US11886430</t>
  </si>
  <si>
    <t xml:space="preserve">Intent-based natural language processing system</t>
  </si>
  <si>
    <t xml:space="preserve">US11886440</t>
  </si>
  <si>
    <t xml:space="preserve">Guided creation interface for streaming data processing pipelines</t>
  </si>
  <si>
    <t xml:space="preserve">US11886475</t>
  </si>
  <si>
    <t xml:space="preserve">IT service monitoring by ingested machine data with KPI prediction and impactor determination</t>
  </si>
  <si>
    <t xml:space="preserve">US11886525</t>
  </si>
  <si>
    <t xml:space="preserve">Systems and methods for presenting additional content for a network application accessed via an embedded browser of a client application</t>
  </si>
  <si>
    <t xml:space="preserve">US11875275</t>
  </si>
  <si>
    <t xml:space="preserve">Custom time series models in computer analytics systems</t>
  </si>
  <si>
    <t xml:space="preserve">2024-01-16</t>
  </si>
  <si>
    <t xml:space="preserve">EP4127995B1</t>
  </si>
  <si>
    <t xml:space="preserve">Model for identifying the most relevant person(s) for an event associated with a resource</t>
  </si>
  <si>
    <t xml:space="preserve">2024-01-10</t>
  </si>
  <si>
    <t xml:space="preserve">US11860858</t>
  </si>
  <si>
    <t xml:space="preserve">Decoding distributed ledger transaction records</t>
  </si>
  <si>
    <t xml:space="preserve">2024-01-02</t>
  </si>
  <si>
    <t xml:space="preserve">US11860874</t>
  </si>
  <si>
    <t xml:space="preserve">Multi-partitioning data for combination operations</t>
  </si>
  <si>
    <t xml:space="preserve">EP3881522B1</t>
  </si>
  <si>
    <t xml:space="preserve">Systems and methods for push notification service for saas applications</t>
  </si>
  <si>
    <t xml:space="preserve">2023-12-27</t>
  </si>
  <si>
    <t xml:space="preserve">US11853303</t>
  </si>
  <si>
    <t xml:space="preserve">Data stream generation based on sourcetypes associated with messages</t>
  </si>
  <si>
    <t xml:space="preserve">US11853366</t>
  </si>
  <si>
    <t xml:space="preserve">Generating extended reality views based on user-based filters</t>
  </si>
  <si>
    <t xml:space="preserve">US11853533</t>
  </si>
  <si>
    <t xml:space="preserve">Data visualization workspace in an extended reality environment</t>
  </si>
  <si>
    <t xml:space="preserve">US11847133</t>
  </si>
  <si>
    <t xml:space="preserve">Real-time collaborative data visualization and interaction</t>
  </si>
  <si>
    <t xml:space="preserve">2023-12-19</t>
  </si>
  <si>
    <t xml:space="preserve">US11847773</t>
  </si>
  <si>
    <t xml:space="preserve">Geofence-based object identification in an extended reality environment</t>
  </si>
  <si>
    <t xml:space="preserve">US11841827</t>
  </si>
  <si>
    <t xml:space="preserve">Facilitating generation of data model summaries</t>
  </si>
  <si>
    <t xml:space="preserve">US11841853</t>
  </si>
  <si>
    <t xml:space="preserve">Identifying related field sets based on related source types</t>
  </si>
  <si>
    <t xml:space="preserve">US11841931</t>
  </si>
  <si>
    <t xml:space="preserve">Systems and methods for dynamically enforcing digital rights management via embedded browser</t>
  </si>
  <si>
    <t xml:space="preserve">US11842118</t>
  </si>
  <si>
    <t xml:space="preserve">Interface for data visualizations on a wearable device</t>
  </si>
  <si>
    <t xml:space="preserve">US11843515</t>
  </si>
  <si>
    <t xml:space="preserve">Peer risk benchmarking using generative adversarial networks</t>
  </si>
  <si>
    <t xml:space="preserve">US11843528</t>
  </si>
  <si>
    <t xml:space="preserve">Lower-tier application deployment for higher-tier system</t>
  </si>
  <si>
    <t xml:space="preserve">US11836148</t>
  </si>
  <si>
    <t xml:space="preserve">Data source correlation user interface</t>
  </si>
  <si>
    <t xml:space="preserve">US11836869</t>
  </si>
  <si>
    <t xml:space="preserve">Generating three-dimensional data visualizations in an extended reality environment</t>
  </si>
  <si>
    <t xml:space="preserve">US11829191</t>
  </si>
  <si>
    <t xml:space="preserve">Systems and methods for deep linking of SaaS application via embedded browser</t>
  </si>
  <si>
    <t xml:space="preserve">2023-11-28</t>
  </si>
  <si>
    <t xml:space="preserve">US11829236</t>
  </si>
  <si>
    <t xml:space="preserve">Monitoring statuses of monitoring modules of a distributed computing system</t>
  </si>
  <si>
    <t xml:space="preserve">US11829415</t>
  </si>
  <si>
    <t xml:space="preserve">Mapping buckets and search peers to a bucket map identifier for searching</t>
  </si>
  <si>
    <t xml:space="preserve">EP4278259A1</t>
  </si>
  <si>
    <t xml:space="preserve">Geo-replicated service management</t>
  </si>
  <si>
    <t xml:space="preserve">2023-11-22</t>
  </si>
  <si>
    <t xml:space="preserve">US11824729</t>
  </si>
  <si>
    <t xml:space="preserve">Generating a three-dimensional cityscape including a cluster of nodes</t>
  </si>
  <si>
    <t xml:space="preserve">US20230367849</t>
  </si>
  <si>
    <t xml:space="preserve">Entropy exclusion of training data for an embedding network</t>
  </si>
  <si>
    <t xml:space="preserve">US11816140</t>
  </si>
  <si>
    <t xml:space="preserve">Non-text machine data processing</t>
  </si>
  <si>
    <t xml:space="preserve">US11816321</t>
  </si>
  <si>
    <t xml:space="preserve">Enhancing extraction rules based on user feedback</t>
  </si>
  <si>
    <t xml:space="preserve">US11809395</t>
  </si>
  <si>
    <t xml:space="preserve">Load balancing, failover, and reliable delivery of data in a data intake and query system</t>
  </si>
  <si>
    <t xml:space="preserve">US11809447</t>
  </si>
  <si>
    <t xml:space="preserve">Collapsing nodes within a journey model</t>
  </si>
  <si>
    <t xml:space="preserve">US11809497</t>
  </si>
  <si>
    <t xml:space="preserve">Relating events and matching events to steps of a process using field values from different fields</t>
  </si>
  <si>
    <t xml:space="preserve">US11803292</t>
  </si>
  <si>
    <t xml:space="preserve">User interface component and region layout control</t>
  </si>
  <si>
    <t xml:space="preserve">2023-10-31</t>
  </si>
  <si>
    <t xml:space="preserve">US11803548</t>
  </si>
  <si>
    <t xml:space="preserve">Automated generation of metrics from log data</t>
  </si>
  <si>
    <t xml:space="preserve">US11805086</t>
  </si>
  <si>
    <t xml:space="preserve">State-sharing plug-in in a computing workspace environment</t>
  </si>
  <si>
    <t xml:space="preserve">US11789950</t>
  </si>
  <si>
    <t xml:space="preserve">Dynamic storage and deferred analysis of data stream events</t>
  </si>
  <si>
    <t xml:space="preserve">US11790623</t>
  </si>
  <si>
    <t xml:space="preserve">Manipulation of virtual object position within a plane of an extended reality environment</t>
  </si>
  <si>
    <t xml:space="preserve">US11790649</t>
  </si>
  <si>
    <t xml:space="preserve">External asset database management in an extended reality environment</t>
  </si>
  <si>
    <t xml:space="preserve">WO2023191928A1</t>
  </si>
  <si>
    <t xml:space="preserve">Virtual desktop switching and communications</t>
  </si>
  <si>
    <t xml:space="preserve">2023-10-05</t>
  </si>
  <si>
    <t xml:space="preserve">US11777865</t>
  </si>
  <si>
    <t xml:space="preserve">Discovery and adjustment of path maximum transmission unit</t>
  </si>
  <si>
    <t xml:space="preserve">US11777974</t>
  </si>
  <si>
    <t xml:space="preserve">Systems data availability validation</t>
  </si>
  <si>
    <t xml:space="preserve">WO2023180169A1</t>
  </si>
  <si>
    <t xml:space="preserve">Smart sdn for intrusion prevention</t>
  </si>
  <si>
    <t xml:space="preserve">2023-09-28</t>
  </si>
  <si>
    <t xml:space="preserve">US11768692</t>
  </si>
  <si>
    <t xml:space="preserve">Systems and methods for automated application launching</t>
  </si>
  <si>
    <t xml:space="preserve">2023-09-26</t>
  </si>
  <si>
    <t xml:space="preserve">US11768700</t>
  </si>
  <si>
    <t xml:space="preserve">Contextual application switch based on user behaviors</t>
  </si>
  <si>
    <t xml:space="preserve">US11768776</t>
  </si>
  <si>
    <t xml:space="preserve">Evicting data associated with a data intake and query system from a local storage</t>
  </si>
  <si>
    <t xml:space="preserve">US11762869</t>
  </si>
  <si>
    <t xml:space="preserve">Generating journey flow visualization with node placement based on shortest distance to journey start</t>
  </si>
  <si>
    <t xml:space="preserve">2023-09-19</t>
  </si>
  <si>
    <t xml:space="preserve">US11755531</t>
  </si>
  <si>
    <t xml:space="preserve">System and method for storage of data utilizing a persistent queue</t>
  </si>
  <si>
    <t xml:space="preserve">US11755626</t>
  </si>
  <si>
    <t xml:space="preserve">Systems and methods for classifying data objects</t>
  </si>
  <si>
    <t xml:space="preserve">US20230283580</t>
  </si>
  <si>
    <t xml:space="preserve">Story message generation</t>
  </si>
  <si>
    <t xml:space="preserve">2023-09-07</t>
  </si>
  <si>
    <t xml:space="preserve">EP3791561B1</t>
  </si>
  <si>
    <t xml:space="preserve">Anchor shortening across streaming nodes</t>
  </si>
  <si>
    <t xml:space="preserve">2023-09-06</t>
  </si>
  <si>
    <t xml:space="preserve">CA3113673C</t>
  </si>
  <si>
    <t xml:space="preserve">Systems and methods for consistent enforcement policy across different saas applications via embedded browser</t>
  </si>
  <si>
    <t xml:space="preserve">US11748634</t>
  </si>
  <si>
    <t xml:space="preserve">Systems and methods for integration of machine learning components within a pipelined search query to generate a graphic visualization</t>
  </si>
  <si>
    <t xml:space="preserve">JP7335434B2</t>
  </si>
  <si>
    <t xml:space="preserve">Training an Action Selection Neural Network Using Hindsight Modeling</t>
  </si>
  <si>
    <t xml:space="preserve">2023-08-29</t>
  </si>
  <si>
    <t xml:space="preserve">US11741131</t>
  </si>
  <si>
    <t xml:space="preserve">Fragmented upload and re-stitching of journey instances detected within event data</t>
  </si>
  <si>
    <t xml:space="preserve">US11741396</t>
  </si>
  <si>
    <t xml:space="preserve">Efficient command execution using aggregated compute units</t>
  </si>
  <si>
    <t xml:space="preserve">US11734297</t>
  </si>
  <si>
    <t xml:space="preserve">Monitoring platform job integration in computer analytics system</t>
  </si>
  <si>
    <t xml:space="preserve">US11734886</t>
  </si>
  <si>
    <t xml:space="preserve">Interaction tools in networked remote collaboration</t>
  </si>
  <si>
    <t xml:space="preserve">US11726990</t>
  </si>
  <si>
    <t xml:space="preserve">Efficient updating of journey instances detected within unstructured event data</t>
  </si>
  <si>
    <t xml:space="preserve">2023-08-15</t>
  </si>
  <si>
    <t xml:space="preserve">US11727007</t>
  </si>
  <si>
    <t xml:space="preserve">Systems and methods for a unified analytics platform</t>
  </si>
  <si>
    <t xml:space="preserve">US11714613</t>
  </si>
  <si>
    <t xml:space="preserve">Surfacing underutilized tool features</t>
  </si>
  <si>
    <t xml:space="preserve">MICROSOFT CORP</t>
  </si>
  <si>
    <t xml:space="preserve">US11714823</t>
  </si>
  <si>
    <t xml:space="preserve">Generating metric data from log data using metricization rules</t>
  </si>
  <si>
    <t xml:space="preserve">US11714980</t>
  </si>
  <si>
    <t xml:space="preserve">Techniques for using tag placement to determine 3D object orientation</t>
  </si>
  <si>
    <t xml:space="preserve">US11704219</t>
  </si>
  <si>
    <t xml:space="preserve">Performance monitoring of distributed ledger nodes</t>
  </si>
  <si>
    <t xml:space="preserve">US11704285</t>
  </si>
  <si>
    <t xml:space="preserve">Metrics and log integration</t>
  </si>
  <si>
    <t xml:space="preserve">US11706246</t>
  </si>
  <si>
    <t xml:space="preserve">IOT device risk assessment and scoring</t>
  </si>
  <si>
    <t xml:space="preserve">US11698913</t>
  </si>
  <si>
    <t xml:space="preserve">Cross-system journey monitoring based on relation of machine data</t>
  </si>
  <si>
    <t xml:space="preserve">US11699268</t>
  </si>
  <si>
    <t xml:space="preserve">Techniques for placement of extended reality objects relative to physical objects in an extended reality environment</t>
  </si>
  <si>
    <t xml:space="preserve">US11693651</t>
  </si>
  <si>
    <t xml:space="preserve">Static and dynamic correlation of software development pipeline events</t>
  </si>
  <si>
    <t xml:space="preserve">2023-07-04</t>
  </si>
  <si>
    <t xml:space="preserve">US11693895</t>
  </si>
  <si>
    <t xml:space="preserve">Graphical user interface with chart for event inference into tasks</t>
  </si>
  <si>
    <t xml:space="preserve">US11695792</t>
  </si>
  <si>
    <t xml:space="preserve">Leveraging synthetic traffic data samples for flow classifier training</t>
  </si>
  <si>
    <t xml:space="preserve">CN114866333B</t>
  </si>
  <si>
    <t xml:space="preserve">Intelligent identification method and device for violent cracking request, electronic equipment and medium</t>
  </si>
  <si>
    <t xml:space="preserve">2023-06-30</t>
  </si>
  <si>
    <t xml:space="preserve">US11687413</t>
  </si>
  <si>
    <t xml:space="preserve">Data snapshots for configurable screen on a wearable device</t>
  </si>
  <si>
    <t xml:space="preserve">2023-06-27</t>
  </si>
  <si>
    <t xml:space="preserve">US11687438</t>
  </si>
  <si>
    <t xml:space="preserve">Adaptive thresholding of data streamed to a data processing pipeline</t>
  </si>
  <si>
    <t xml:space="preserve">US11687487</t>
  </si>
  <si>
    <t xml:space="preserve">Text files updates to an active processing pipeline</t>
  </si>
  <si>
    <t xml:space="preserve">US11681378</t>
  </si>
  <si>
    <t xml:space="preserve">Automated keyboard mapping for virtual desktops</t>
  </si>
  <si>
    <t xml:space="preserve">2023-06-20</t>
  </si>
  <si>
    <t xml:space="preserve">US11681707</t>
  </si>
  <si>
    <t xml:space="preserve">Analytics query response transmission</t>
  </si>
  <si>
    <t xml:space="preserve">US11675473</t>
  </si>
  <si>
    <t xml:space="preserve">User interface for summarizing data to generate previews of metric data</t>
  </si>
  <si>
    <t xml:space="preserve">US11676345</t>
  </si>
  <si>
    <t xml:space="preserve">Automated adaptive workflows in an extended reality environment</t>
  </si>
  <si>
    <t xml:space="preserve">US11669533</t>
  </si>
  <si>
    <t xml:space="preserve">Inferring sourcetype based on match rates for rule packages</t>
  </si>
  <si>
    <t xml:space="preserve">US11669551</t>
  </si>
  <si>
    <t xml:space="preserve">Rule-based data stream processing</t>
  </si>
  <si>
    <t xml:space="preserve">US11670050</t>
  </si>
  <si>
    <t xml:space="preserve">Multi-environment networked remote collaboration system</t>
  </si>
  <si>
    <t xml:space="preserve">US11670062</t>
  </si>
  <si>
    <t xml:space="preserve">Web-based three-dimensional extended reality workspace editor</t>
  </si>
  <si>
    <t xml:space="preserve">US11670288</t>
  </si>
  <si>
    <t xml:space="preserve">Generating predicted follow-on requests to a natural language request received by a natural language processing system</t>
  </si>
  <si>
    <t xml:space="preserve">US11663172</t>
  </si>
  <si>
    <t xml:space="preserve">Cascading payload replication</t>
  </si>
  <si>
    <t xml:space="preserve">2023-05-30</t>
  </si>
  <si>
    <t xml:space="preserve">US11663219</t>
  </si>
  <si>
    <t xml:space="preserve">Determining a set of parameter values for a processing pipeline</t>
  </si>
  <si>
    <t xml:space="preserve">US11657582</t>
  </si>
  <si>
    <t xml:space="preserve">Precise plane detection and placement of virtual objects in an augmented reality environment</t>
  </si>
  <si>
    <t xml:space="preserve">2023-05-23</t>
  </si>
  <si>
    <t xml:space="preserve">US11658993</t>
  </si>
  <si>
    <t xml:space="preserve">Systems and methods for traffic inspection via an embedded browser</t>
  </si>
  <si>
    <t xml:space="preserve">EP3956773B1</t>
  </si>
  <si>
    <t xml:space="preserve">Program execution coverage expansion by selective data capture</t>
  </si>
  <si>
    <t xml:space="preserve">2023-05-10</t>
  </si>
  <si>
    <t xml:space="preserve">US11645351</t>
  </si>
  <si>
    <t xml:space="preserve">Systems and methods for rendering weblinks inside a remote application using an embedded browser</t>
  </si>
  <si>
    <t xml:space="preserve">US11645471</t>
  </si>
  <si>
    <t xml:space="preserve">Determining a relationship recommendation for a natural language request</t>
  </si>
  <si>
    <t xml:space="preserve">US11636387</t>
  </si>
  <si>
    <t xml:space="preserve">System and method for improving machine learning models based on confusion error evaluation</t>
  </si>
  <si>
    <t xml:space="preserve">US20230116149</t>
  </si>
  <si>
    <t xml:space="preserve">Copy-paste-update edit automation</t>
  </si>
  <si>
    <t xml:space="preserve">US11625254</t>
  </si>
  <si>
    <t xml:space="preserve">Interface for customizing dashboards based on parallel edges</t>
  </si>
  <si>
    <t xml:space="preserve">US11625558</t>
  </si>
  <si>
    <t xml:space="preserve">Punctuation controlled machine learning model temporal validity</t>
  </si>
  <si>
    <t xml:space="preserve">US11620300</t>
  </si>
  <si>
    <t xml:space="preserve">Real-time measurement and system monitoring based on generated dependency graph models of system components</t>
  </si>
  <si>
    <t xml:space="preserve">EP3651439B1</t>
  </si>
  <si>
    <t xml:space="preserve">Systems and methods for saas overlays using an embedded browser</t>
  </si>
  <si>
    <t xml:space="preserve">2023-03-29</t>
  </si>
  <si>
    <t xml:space="preserve">US11614923</t>
  </si>
  <si>
    <t xml:space="preserve">Dual textual/graphical programming interfaces for streaming data processing pipelines</t>
  </si>
  <si>
    <t xml:space="preserve">2023-03-28</t>
  </si>
  <si>
    <t xml:space="preserve">US11615082</t>
  </si>
  <si>
    <t xml:space="preserve">Using a data store and message queue to ingest data for a data intake and query system</t>
  </si>
  <si>
    <t xml:space="preserve">US11615087</t>
  </si>
  <si>
    <t xml:space="preserve">Search time estimate in a data intake and query system</t>
  </si>
  <si>
    <t xml:space="preserve">EP4143678A1</t>
  </si>
  <si>
    <t xml:space="preserve">Autosynthesized sublanguage snippet presentation</t>
  </si>
  <si>
    <t xml:space="preserve">US20230048038</t>
  </si>
  <si>
    <t xml:space="preserve">Systems and methods for traffic accounting for saas usage</t>
  </si>
  <si>
    <t xml:space="preserve">2023-02-16</t>
  </si>
  <si>
    <t xml:space="preserve">US11579764</t>
  </si>
  <si>
    <t xml:space="preserve">Interfaces for data monitoring and event response</t>
  </si>
  <si>
    <t xml:space="preserve">2023-02-14</t>
  </si>
  <si>
    <t xml:space="preserve">US11574241</t>
  </si>
  <si>
    <t xml:space="preserve">Adaptive threshold selection for SD-WAN tunnel failure prediction</t>
  </si>
  <si>
    <t xml:space="preserve">EP3850817B1</t>
  </si>
  <si>
    <t xml:space="preserve">Systems and methods for integrated service discovery for network applications</t>
  </si>
  <si>
    <t xml:space="preserve">2023-01-25</t>
  </si>
  <si>
    <t xml:space="preserve">EP4118582A1</t>
  </si>
  <si>
    <t xml:space="preserve">System and method for improving convolutional neural network-based machine learning models</t>
  </si>
  <si>
    <t xml:space="preserve">2023-01-18</t>
  </si>
  <si>
    <t xml:space="preserve">US11558268</t>
  </si>
  <si>
    <t xml:space="preserve">System and method for processing network data</t>
  </si>
  <si>
    <t xml:space="preserve">US11550448</t>
  </si>
  <si>
    <t xml:space="preserve">Systems and methods for intellisense for SaaS application</t>
  </si>
  <si>
    <t xml:space="preserve">2023-01-10</t>
  </si>
  <si>
    <t xml:space="preserve">US11544383</t>
  </si>
  <si>
    <t xml:space="preserve">Method for runtime mitigation of software and firmware code weaknesses</t>
  </si>
  <si>
    <t xml:space="preserve">2023-01-03</t>
  </si>
  <si>
    <t xml:space="preserve">US11546361</t>
  </si>
  <si>
    <t xml:space="preserve">Method and apparatus for organizing and detecting swarms in a network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</si>
</sst>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0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22"/>
    <col collapsed="false" customWidth="true" hidden="false" outlineLevel="0" max="7" min="7" style="0" width="32"/>
    <col collapsed="false" customWidth="true" hidden="false" outlineLevel="0" max="8" min="8" style="0" width="30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n">
        <v>2026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0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11</v>
      </c>
      <c r="D3" s="2" t="n">
        <v>2026</v>
      </c>
      <c r="E3" s="2" t="s">
        <v>12</v>
      </c>
      <c r="F3" s="2" t="s">
        <v>18</v>
      </c>
      <c r="G3" s="2" t="s">
        <v>19</v>
      </c>
      <c r="H3" s="2" t="s">
        <v>20</v>
      </c>
      <c r="I3" s="2" t="n">
        <v>0</v>
      </c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11</v>
      </c>
      <c r="D4" s="2" t="n">
        <v>2026</v>
      </c>
      <c r="E4" s="2" t="s">
        <v>12</v>
      </c>
      <c r="F4" s="2" t="s">
        <v>13</v>
      </c>
      <c r="G4" s="2" t="s">
        <v>23</v>
      </c>
      <c r="H4" s="2" t="s">
        <v>15</v>
      </c>
      <c r="I4" s="2" t="n">
        <v>0</v>
      </c>
    </row>
    <row r="5" customFormat="false" ht="15" hidden="false" customHeight="false" outlineLevel="0" collapsed="false">
      <c r="A5" s="2" t="s">
        <v>24</v>
      </c>
      <c r="B5" s="2" t="s">
        <v>25</v>
      </c>
      <c r="C5" s="2" t="s">
        <v>11</v>
      </c>
      <c r="D5" s="2" t="n">
        <v>2026</v>
      </c>
      <c r="E5" s="2" t="s">
        <v>12</v>
      </c>
      <c r="F5" s="2" t="s">
        <v>26</v>
      </c>
      <c r="G5" s="2" t="s">
        <v>27</v>
      </c>
      <c r="H5" s="2" t="s">
        <v>28</v>
      </c>
      <c r="I5" s="2" t="n">
        <v>0</v>
      </c>
    </row>
    <row r="6" customFormat="false" ht="15" hidden="false" customHeight="false" outlineLevel="0" collapsed="false">
      <c r="A6" s="2" t="s">
        <v>29</v>
      </c>
      <c r="B6" s="2" t="s">
        <v>30</v>
      </c>
      <c r="C6" s="2" t="s">
        <v>31</v>
      </c>
      <c r="D6" s="2" t="n">
        <v>2026</v>
      </c>
      <c r="E6" s="2" t="s">
        <v>12</v>
      </c>
      <c r="F6" s="2" t="s">
        <v>13</v>
      </c>
      <c r="G6" s="2" t="s">
        <v>14</v>
      </c>
      <c r="H6" s="2" t="s">
        <v>15</v>
      </c>
      <c r="I6" s="2" t="n">
        <v>0</v>
      </c>
    </row>
    <row r="7" customFormat="false" ht="15" hidden="false" customHeight="false" outlineLevel="0" collapsed="false">
      <c r="A7" s="2" t="s">
        <v>32</v>
      </c>
      <c r="B7" s="2" t="s">
        <v>33</v>
      </c>
      <c r="C7" s="2" t="s">
        <v>31</v>
      </c>
      <c r="D7" s="2" t="n">
        <v>2026</v>
      </c>
      <c r="E7" s="2" t="s">
        <v>12</v>
      </c>
      <c r="F7" s="2" t="s">
        <v>13</v>
      </c>
      <c r="G7" s="2" t="s">
        <v>34</v>
      </c>
      <c r="H7" s="2" t="s">
        <v>15</v>
      </c>
      <c r="I7" s="2" t="n">
        <v>0</v>
      </c>
    </row>
    <row r="8" customFormat="false" ht="15" hidden="false" customHeight="false" outlineLevel="0" collapsed="false">
      <c r="A8" s="2" t="s">
        <v>35</v>
      </c>
      <c r="B8" s="2" t="s">
        <v>36</v>
      </c>
      <c r="C8" s="2" t="s">
        <v>31</v>
      </c>
      <c r="D8" s="2" t="n">
        <v>2026</v>
      </c>
      <c r="E8" s="2" t="s">
        <v>12</v>
      </c>
      <c r="F8" s="2" t="s">
        <v>13</v>
      </c>
      <c r="G8" s="2" t="s">
        <v>37</v>
      </c>
      <c r="H8" s="2" t="s">
        <v>15</v>
      </c>
      <c r="I8" s="2" t="n">
        <v>0</v>
      </c>
    </row>
    <row r="9" customFormat="false" ht="15" hidden="false" customHeight="false" outlineLevel="0" collapsed="false">
      <c r="A9" s="2" t="s">
        <v>38</v>
      </c>
      <c r="B9" s="2" t="s">
        <v>39</v>
      </c>
      <c r="C9" s="2" t="s">
        <v>31</v>
      </c>
      <c r="D9" s="2" t="n">
        <v>2026</v>
      </c>
      <c r="E9" s="2" t="s">
        <v>40</v>
      </c>
      <c r="F9" s="2" t="s">
        <v>41</v>
      </c>
      <c r="G9" s="2" t="s">
        <v>23</v>
      </c>
      <c r="H9" s="2" t="s">
        <v>42</v>
      </c>
      <c r="I9" s="2" t="n">
        <v>0</v>
      </c>
    </row>
    <row r="10" customFormat="false" ht="15" hidden="false" customHeight="false" outlineLevel="0" collapsed="false">
      <c r="A10" s="2" t="s">
        <v>43</v>
      </c>
      <c r="B10" s="2" t="s">
        <v>44</v>
      </c>
      <c r="C10" s="2" t="s">
        <v>45</v>
      </c>
      <c r="D10" s="2" t="n">
        <v>2026</v>
      </c>
      <c r="E10" s="2" t="s">
        <v>46</v>
      </c>
      <c r="F10" s="2" t="s">
        <v>26</v>
      </c>
      <c r="G10" s="2" t="s">
        <v>27</v>
      </c>
      <c r="H10" s="2" t="s">
        <v>28</v>
      </c>
      <c r="I10" s="2" t="n">
        <v>0</v>
      </c>
    </row>
    <row r="11" customFormat="false" ht="15" hidden="false" customHeight="false" outlineLevel="0" collapsed="false">
      <c r="A11" s="2" t="s">
        <v>47</v>
      </c>
      <c r="B11" s="2" t="s">
        <v>48</v>
      </c>
      <c r="C11" s="2" t="s">
        <v>45</v>
      </c>
      <c r="D11" s="2" t="n">
        <v>2026</v>
      </c>
      <c r="E11" s="2" t="s">
        <v>46</v>
      </c>
      <c r="F11" s="2" t="s">
        <v>13</v>
      </c>
      <c r="G11" s="2" t="s">
        <v>49</v>
      </c>
      <c r="H11" s="2" t="s">
        <v>15</v>
      </c>
      <c r="I11" s="2" t="n">
        <v>0</v>
      </c>
    </row>
    <row r="12" customFormat="false" ht="15" hidden="false" customHeight="false" outlineLevel="0" collapsed="false">
      <c r="A12" s="2" t="s">
        <v>50</v>
      </c>
      <c r="B12" s="2" t="s">
        <v>51</v>
      </c>
      <c r="C12" s="2" t="s">
        <v>45</v>
      </c>
      <c r="D12" s="2" t="n">
        <v>2026</v>
      </c>
      <c r="E12" s="2" t="s">
        <v>46</v>
      </c>
      <c r="F12" s="2" t="s">
        <v>13</v>
      </c>
      <c r="G12" s="2" t="s">
        <v>52</v>
      </c>
      <c r="H12" s="2" t="s">
        <v>15</v>
      </c>
      <c r="I12" s="2" t="n">
        <v>0</v>
      </c>
    </row>
    <row r="13" customFormat="false" ht="15" hidden="false" customHeight="false" outlineLevel="0" collapsed="false">
      <c r="A13" s="2" t="s">
        <v>53</v>
      </c>
      <c r="B13" s="2" t="s">
        <v>54</v>
      </c>
      <c r="C13" s="2" t="s">
        <v>45</v>
      </c>
      <c r="D13" s="2" t="n">
        <v>2026</v>
      </c>
      <c r="E13" s="2" t="s">
        <v>46</v>
      </c>
      <c r="F13" s="2" t="s">
        <v>55</v>
      </c>
      <c r="G13" s="2" t="s">
        <v>52</v>
      </c>
      <c r="H13" s="2" t="s">
        <v>56</v>
      </c>
      <c r="I13" s="2" t="n">
        <v>0</v>
      </c>
    </row>
    <row r="14" customFormat="false" ht="15" hidden="false" customHeight="false" outlineLevel="0" collapsed="false">
      <c r="A14" s="2" t="s">
        <v>57</v>
      </c>
      <c r="B14" s="2" t="s">
        <v>58</v>
      </c>
      <c r="C14" s="2" t="s">
        <v>59</v>
      </c>
      <c r="D14" s="2" t="n">
        <v>2026</v>
      </c>
      <c r="E14" s="2" t="s">
        <v>60</v>
      </c>
      <c r="F14" s="2" t="s">
        <v>26</v>
      </c>
      <c r="G14" s="2" t="s">
        <v>37</v>
      </c>
      <c r="H14" s="2" t="s">
        <v>28</v>
      </c>
      <c r="I14" s="2" t="n">
        <v>0</v>
      </c>
    </row>
    <row r="15" customFormat="false" ht="15" hidden="false" customHeight="false" outlineLevel="0" collapsed="false">
      <c r="A15" s="2" t="s">
        <v>61</v>
      </c>
      <c r="B15" s="2" t="s">
        <v>58</v>
      </c>
      <c r="C15" s="2" t="s">
        <v>59</v>
      </c>
      <c r="D15" s="2" t="n">
        <v>2026</v>
      </c>
      <c r="E15" s="2" t="s">
        <v>12</v>
      </c>
      <c r="F15" s="2" t="s">
        <v>26</v>
      </c>
      <c r="G15" s="2" t="s">
        <v>37</v>
      </c>
      <c r="H15" s="2" t="s">
        <v>28</v>
      </c>
      <c r="I15" s="2" t="n">
        <v>0</v>
      </c>
    </row>
    <row r="16" customFormat="false" ht="15" hidden="false" customHeight="false" outlineLevel="0" collapsed="false">
      <c r="A16" s="2" t="s">
        <v>62</v>
      </c>
      <c r="B16" s="2" t="s">
        <v>63</v>
      </c>
      <c r="C16" s="2" t="s">
        <v>59</v>
      </c>
      <c r="D16" s="2" t="n">
        <v>2026</v>
      </c>
      <c r="E16" s="2" t="s">
        <v>12</v>
      </c>
      <c r="F16" s="2" t="s">
        <v>64</v>
      </c>
      <c r="G16" s="2" t="s">
        <v>14</v>
      </c>
      <c r="H16" s="2" t="s">
        <v>65</v>
      </c>
      <c r="I16" s="2" t="n">
        <v>0</v>
      </c>
    </row>
    <row r="17" customFormat="false" ht="15" hidden="false" customHeight="false" outlineLevel="0" collapsed="false">
      <c r="A17" s="2" t="s">
        <v>66</v>
      </c>
      <c r="B17" s="2" t="s">
        <v>67</v>
      </c>
      <c r="C17" s="2" t="s">
        <v>59</v>
      </c>
      <c r="D17" s="2" t="n">
        <v>2026</v>
      </c>
      <c r="E17" s="2" t="s">
        <v>12</v>
      </c>
      <c r="F17" s="2" t="s">
        <v>64</v>
      </c>
      <c r="G17" s="2" t="s">
        <v>14</v>
      </c>
      <c r="H17" s="2" t="s">
        <v>65</v>
      </c>
      <c r="I17" s="2" t="n">
        <v>0</v>
      </c>
    </row>
    <row r="18" customFormat="false" ht="15" hidden="false" customHeight="false" outlineLevel="0" collapsed="false">
      <c r="A18" s="2" t="s">
        <v>68</v>
      </c>
      <c r="B18" s="2" t="s">
        <v>69</v>
      </c>
      <c r="C18" s="2" t="s">
        <v>59</v>
      </c>
      <c r="D18" s="2" t="n">
        <v>2026</v>
      </c>
      <c r="E18" s="2" t="s">
        <v>12</v>
      </c>
      <c r="F18" s="2" t="s">
        <v>64</v>
      </c>
      <c r="G18" s="2" t="s">
        <v>27</v>
      </c>
      <c r="H18" s="2" t="s">
        <v>65</v>
      </c>
      <c r="I18" s="2" t="n">
        <v>0</v>
      </c>
    </row>
    <row r="19" customFormat="false" ht="15" hidden="false" customHeight="false" outlineLevel="0" collapsed="false">
      <c r="A19" s="2" t="s">
        <v>70</v>
      </c>
      <c r="B19" s="2" t="s">
        <v>71</v>
      </c>
      <c r="C19" s="2" t="s">
        <v>59</v>
      </c>
      <c r="D19" s="2" t="n">
        <v>2026</v>
      </c>
      <c r="E19" s="2" t="s">
        <v>12</v>
      </c>
      <c r="F19" s="2" t="s">
        <v>72</v>
      </c>
      <c r="G19" s="2" t="s">
        <v>73</v>
      </c>
      <c r="H19" s="2" t="s">
        <v>74</v>
      </c>
      <c r="I19" s="2" t="n">
        <v>0</v>
      </c>
    </row>
    <row r="20" customFormat="false" ht="15" hidden="false" customHeight="false" outlineLevel="0" collapsed="false">
      <c r="A20" s="2" t="s">
        <v>75</v>
      </c>
      <c r="B20" s="2" t="s">
        <v>76</v>
      </c>
      <c r="C20" s="2" t="s">
        <v>59</v>
      </c>
      <c r="D20" s="2" t="n">
        <v>2026</v>
      </c>
      <c r="E20" s="2" t="s">
        <v>12</v>
      </c>
      <c r="F20" s="2" t="s">
        <v>18</v>
      </c>
      <c r="G20" s="2" t="s">
        <v>37</v>
      </c>
      <c r="H20" s="2" t="s">
        <v>20</v>
      </c>
      <c r="I20" s="2" t="n">
        <v>0</v>
      </c>
    </row>
    <row r="21" customFormat="false" ht="15" hidden="false" customHeight="false" outlineLevel="0" collapsed="false">
      <c r="A21" s="2" t="s">
        <v>77</v>
      </c>
      <c r="B21" s="2" t="s">
        <v>78</v>
      </c>
      <c r="C21" s="2" t="s">
        <v>79</v>
      </c>
      <c r="D21" s="2" t="n">
        <v>2026</v>
      </c>
      <c r="E21" s="2" t="s">
        <v>12</v>
      </c>
      <c r="F21" s="2" t="s">
        <v>26</v>
      </c>
      <c r="G21" s="2" t="s">
        <v>37</v>
      </c>
      <c r="H21" s="2" t="s">
        <v>28</v>
      </c>
      <c r="I21" s="2" t="n">
        <v>0</v>
      </c>
    </row>
    <row r="22" customFormat="false" ht="15" hidden="false" customHeight="false" outlineLevel="0" collapsed="false">
      <c r="A22" s="2" t="s">
        <v>80</v>
      </c>
      <c r="B22" s="2" t="s">
        <v>81</v>
      </c>
      <c r="C22" s="2" t="s">
        <v>79</v>
      </c>
      <c r="D22" s="2" t="n">
        <v>2026</v>
      </c>
      <c r="E22" s="2" t="s">
        <v>12</v>
      </c>
      <c r="F22" s="2" t="s">
        <v>82</v>
      </c>
      <c r="G22" s="2" t="s">
        <v>52</v>
      </c>
      <c r="H22" s="2" t="s">
        <v>83</v>
      </c>
      <c r="I22" s="2" t="n">
        <v>0</v>
      </c>
    </row>
    <row r="23" customFormat="false" ht="15" hidden="false" customHeight="false" outlineLevel="0" collapsed="false">
      <c r="A23" s="2" t="s">
        <v>84</v>
      </c>
      <c r="B23" s="2" t="s">
        <v>85</v>
      </c>
      <c r="C23" s="2" t="s">
        <v>79</v>
      </c>
      <c r="D23" s="2" t="n">
        <v>2026</v>
      </c>
      <c r="E23" s="2" t="s">
        <v>12</v>
      </c>
      <c r="F23" s="2" t="s">
        <v>64</v>
      </c>
      <c r="G23" s="2" t="s">
        <v>37</v>
      </c>
      <c r="H23" s="2" t="s">
        <v>65</v>
      </c>
      <c r="I23" s="2" t="n">
        <v>0</v>
      </c>
    </row>
    <row r="24" customFormat="false" ht="15" hidden="false" customHeight="false" outlineLevel="0" collapsed="false">
      <c r="A24" s="2" t="s">
        <v>86</v>
      </c>
      <c r="B24" s="2" t="s">
        <v>87</v>
      </c>
      <c r="C24" s="2" t="s">
        <v>79</v>
      </c>
      <c r="D24" s="2" t="n">
        <v>2026</v>
      </c>
      <c r="E24" s="2" t="s">
        <v>12</v>
      </c>
      <c r="F24" s="2" t="s">
        <v>64</v>
      </c>
      <c r="G24" s="2" t="s">
        <v>52</v>
      </c>
      <c r="H24" s="2" t="s">
        <v>65</v>
      </c>
      <c r="I24" s="2" t="n">
        <v>0</v>
      </c>
    </row>
    <row r="25" customFormat="false" ht="15" hidden="false" customHeight="false" outlineLevel="0" collapsed="false">
      <c r="A25" s="2" t="s">
        <v>88</v>
      </c>
      <c r="B25" s="2" t="s">
        <v>89</v>
      </c>
      <c r="C25" s="2" t="s">
        <v>79</v>
      </c>
      <c r="D25" s="2" t="n">
        <v>2026</v>
      </c>
      <c r="E25" s="2" t="s">
        <v>12</v>
      </c>
      <c r="F25" s="2" t="s">
        <v>26</v>
      </c>
      <c r="G25" s="2" t="s">
        <v>49</v>
      </c>
      <c r="H25" s="2" t="s">
        <v>28</v>
      </c>
      <c r="I25" s="2" t="n">
        <v>0</v>
      </c>
    </row>
    <row r="26" customFormat="false" ht="15" hidden="false" customHeight="false" outlineLevel="0" collapsed="false">
      <c r="A26" s="2" t="s">
        <v>90</v>
      </c>
      <c r="B26" s="2" t="s">
        <v>91</v>
      </c>
      <c r="C26" s="2" t="s">
        <v>79</v>
      </c>
      <c r="D26" s="2" t="n">
        <v>2026</v>
      </c>
      <c r="E26" s="2" t="s">
        <v>12</v>
      </c>
      <c r="F26" s="2" t="s">
        <v>13</v>
      </c>
      <c r="G26" s="2" t="s">
        <v>73</v>
      </c>
      <c r="H26" s="2" t="s">
        <v>15</v>
      </c>
      <c r="I26" s="2" t="n">
        <v>0</v>
      </c>
    </row>
    <row r="27" customFormat="false" ht="15" hidden="false" customHeight="false" outlineLevel="0" collapsed="false">
      <c r="A27" s="2" t="s">
        <v>92</v>
      </c>
      <c r="B27" s="2" t="s">
        <v>93</v>
      </c>
      <c r="C27" s="2" t="s">
        <v>79</v>
      </c>
      <c r="D27" s="2" t="n">
        <v>2026</v>
      </c>
      <c r="E27" s="2" t="s">
        <v>12</v>
      </c>
      <c r="F27" s="2" t="s">
        <v>82</v>
      </c>
      <c r="G27" s="2" t="s">
        <v>34</v>
      </c>
      <c r="H27" s="2" t="s">
        <v>83</v>
      </c>
      <c r="I27" s="2" t="n">
        <v>0</v>
      </c>
    </row>
    <row r="28" customFormat="false" ht="15" hidden="false" customHeight="false" outlineLevel="0" collapsed="false">
      <c r="A28" s="2" t="s">
        <v>94</v>
      </c>
      <c r="B28" s="2" t="s">
        <v>95</v>
      </c>
      <c r="C28" s="2" t="s">
        <v>96</v>
      </c>
      <c r="D28" s="2" t="n">
        <v>2026</v>
      </c>
      <c r="E28" s="2" t="s">
        <v>12</v>
      </c>
      <c r="F28" s="2" t="s">
        <v>26</v>
      </c>
      <c r="G28" s="2" t="s">
        <v>52</v>
      </c>
      <c r="H28" s="2" t="s">
        <v>28</v>
      </c>
      <c r="I28" s="2" t="n">
        <v>0</v>
      </c>
    </row>
    <row r="29" customFormat="false" ht="15" hidden="false" customHeight="false" outlineLevel="0" collapsed="false">
      <c r="A29" s="2" t="s">
        <v>97</v>
      </c>
      <c r="B29" s="2" t="s">
        <v>98</v>
      </c>
      <c r="C29" s="2" t="s">
        <v>96</v>
      </c>
      <c r="D29" s="2" t="n">
        <v>2026</v>
      </c>
      <c r="E29" s="2" t="s">
        <v>12</v>
      </c>
      <c r="F29" s="2" t="s">
        <v>26</v>
      </c>
      <c r="G29" s="2" t="s">
        <v>27</v>
      </c>
      <c r="H29" s="2" t="s">
        <v>28</v>
      </c>
      <c r="I29" s="2" t="n">
        <v>0</v>
      </c>
    </row>
    <row r="30" customFormat="false" ht="15" hidden="false" customHeight="false" outlineLevel="0" collapsed="false">
      <c r="A30" s="2" t="s">
        <v>99</v>
      </c>
      <c r="B30" s="2" t="s">
        <v>100</v>
      </c>
      <c r="C30" s="2" t="s">
        <v>96</v>
      </c>
      <c r="D30" s="2" t="n">
        <v>2026</v>
      </c>
      <c r="E30" s="2" t="s">
        <v>12</v>
      </c>
      <c r="F30" s="2" t="s">
        <v>72</v>
      </c>
      <c r="G30" s="2" t="s">
        <v>52</v>
      </c>
      <c r="H30" s="2" t="s">
        <v>74</v>
      </c>
      <c r="I30" s="2" t="n">
        <v>0</v>
      </c>
    </row>
    <row r="31" customFormat="false" ht="15" hidden="false" customHeight="false" outlineLevel="0" collapsed="false">
      <c r="A31" s="2" t="s">
        <v>101</v>
      </c>
      <c r="B31" s="2" t="s">
        <v>102</v>
      </c>
      <c r="C31" s="2" t="s">
        <v>96</v>
      </c>
      <c r="D31" s="2" t="n">
        <v>2026</v>
      </c>
      <c r="E31" s="2" t="s">
        <v>12</v>
      </c>
      <c r="F31" s="2" t="s">
        <v>26</v>
      </c>
      <c r="G31" s="2" t="s">
        <v>52</v>
      </c>
      <c r="H31" s="2" t="s">
        <v>28</v>
      </c>
      <c r="I31" s="2" t="n">
        <v>0</v>
      </c>
    </row>
    <row r="32" customFormat="false" ht="15" hidden="false" customHeight="false" outlineLevel="0" collapsed="false">
      <c r="A32" s="2" t="s">
        <v>103</v>
      </c>
      <c r="B32" s="2" t="s">
        <v>104</v>
      </c>
      <c r="C32" s="2" t="s">
        <v>96</v>
      </c>
      <c r="D32" s="2" t="n">
        <v>2026</v>
      </c>
      <c r="E32" s="2" t="s">
        <v>12</v>
      </c>
      <c r="F32" s="2" t="s">
        <v>26</v>
      </c>
      <c r="G32" s="2" t="s">
        <v>49</v>
      </c>
      <c r="H32" s="2" t="s">
        <v>28</v>
      </c>
      <c r="I32" s="2" t="n">
        <v>0</v>
      </c>
    </row>
    <row r="33" customFormat="false" ht="15" hidden="false" customHeight="false" outlineLevel="0" collapsed="false">
      <c r="A33" s="2" t="s">
        <v>105</v>
      </c>
      <c r="B33" s="2" t="s">
        <v>106</v>
      </c>
      <c r="C33" s="2" t="s">
        <v>96</v>
      </c>
      <c r="D33" s="2" t="n">
        <v>2026</v>
      </c>
      <c r="E33" s="2" t="s">
        <v>12</v>
      </c>
      <c r="F33" s="2" t="s">
        <v>64</v>
      </c>
      <c r="G33" s="2" t="s">
        <v>107</v>
      </c>
      <c r="H33" s="2" t="s">
        <v>65</v>
      </c>
      <c r="I33" s="2" t="n">
        <v>0</v>
      </c>
    </row>
    <row r="34" customFormat="false" ht="15" hidden="false" customHeight="false" outlineLevel="0" collapsed="false">
      <c r="A34" s="2" t="s">
        <v>108</v>
      </c>
      <c r="B34" s="2" t="s">
        <v>109</v>
      </c>
      <c r="C34" s="2" t="s">
        <v>96</v>
      </c>
      <c r="D34" s="2" t="n">
        <v>2026</v>
      </c>
      <c r="E34" s="2" t="s">
        <v>12</v>
      </c>
      <c r="F34" s="2" t="s">
        <v>64</v>
      </c>
      <c r="G34" s="2" t="s">
        <v>27</v>
      </c>
      <c r="H34" s="2" t="s">
        <v>65</v>
      </c>
      <c r="I34" s="2" t="n">
        <v>0</v>
      </c>
    </row>
    <row r="35" customFormat="false" ht="15" hidden="false" customHeight="false" outlineLevel="0" collapsed="false">
      <c r="A35" s="2" t="s">
        <v>110</v>
      </c>
      <c r="B35" s="2" t="s">
        <v>111</v>
      </c>
      <c r="C35" s="2" t="s">
        <v>112</v>
      </c>
      <c r="D35" s="2" t="n">
        <v>2026</v>
      </c>
      <c r="E35" s="2" t="s">
        <v>12</v>
      </c>
      <c r="F35" s="2" t="s">
        <v>26</v>
      </c>
      <c r="G35" s="2" t="s">
        <v>107</v>
      </c>
      <c r="H35" s="2" t="s">
        <v>28</v>
      </c>
      <c r="I35" s="2" t="n">
        <v>0</v>
      </c>
    </row>
    <row r="36" customFormat="false" ht="15" hidden="false" customHeight="false" outlineLevel="0" collapsed="false">
      <c r="A36" s="2" t="s">
        <v>113</v>
      </c>
      <c r="B36" s="2" t="s">
        <v>114</v>
      </c>
      <c r="C36" s="2" t="s">
        <v>112</v>
      </c>
      <c r="D36" s="2" t="n">
        <v>2026</v>
      </c>
      <c r="E36" s="2" t="s">
        <v>12</v>
      </c>
      <c r="F36" s="2" t="s">
        <v>26</v>
      </c>
      <c r="G36" s="2" t="s">
        <v>23</v>
      </c>
      <c r="H36" s="2" t="s">
        <v>28</v>
      </c>
      <c r="I36" s="2" t="n">
        <v>0</v>
      </c>
    </row>
    <row r="37" customFormat="false" ht="15" hidden="false" customHeight="false" outlineLevel="0" collapsed="false">
      <c r="A37" s="2" t="s">
        <v>115</v>
      </c>
      <c r="B37" s="2" t="s">
        <v>116</v>
      </c>
      <c r="C37" s="2" t="s">
        <v>112</v>
      </c>
      <c r="D37" s="2" t="n">
        <v>2026</v>
      </c>
      <c r="E37" s="2" t="s">
        <v>12</v>
      </c>
      <c r="F37" s="2" t="s">
        <v>13</v>
      </c>
      <c r="G37" s="2" t="s">
        <v>27</v>
      </c>
      <c r="H37" s="2" t="s">
        <v>15</v>
      </c>
      <c r="I37" s="2" t="n">
        <v>0</v>
      </c>
    </row>
    <row r="38" customFormat="false" ht="15" hidden="false" customHeight="false" outlineLevel="0" collapsed="false">
      <c r="A38" s="2" t="s">
        <v>117</v>
      </c>
      <c r="B38" s="2" t="s">
        <v>118</v>
      </c>
      <c r="C38" s="2" t="s">
        <v>112</v>
      </c>
      <c r="D38" s="2" t="n">
        <v>2026</v>
      </c>
      <c r="E38" s="2" t="s">
        <v>12</v>
      </c>
      <c r="F38" s="2" t="s">
        <v>26</v>
      </c>
      <c r="G38" s="2" t="s">
        <v>73</v>
      </c>
      <c r="H38" s="2" t="s">
        <v>28</v>
      </c>
      <c r="I38" s="2" t="n">
        <v>0</v>
      </c>
    </row>
    <row r="39" customFormat="false" ht="15" hidden="false" customHeight="false" outlineLevel="0" collapsed="false">
      <c r="A39" s="2" t="s">
        <v>119</v>
      </c>
      <c r="B39" s="2" t="s">
        <v>120</v>
      </c>
      <c r="C39" s="2" t="s">
        <v>121</v>
      </c>
      <c r="D39" s="2" t="n">
        <v>2026</v>
      </c>
      <c r="E39" s="2" t="s">
        <v>46</v>
      </c>
      <c r="F39" s="2" t="s">
        <v>26</v>
      </c>
      <c r="G39" s="2" t="s">
        <v>52</v>
      </c>
      <c r="H39" s="2" t="s">
        <v>28</v>
      </c>
      <c r="I39" s="2" t="n">
        <v>0</v>
      </c>
    </row>
    <row r="40" customFormat="false" ht="15" hidden="false" customHeight="false" outlineLevel="0" collapsed="false">
      <c r="A40" s="2" t="s">
        <v>122</v>
      </c>
      <c r="B40" s="2" t="s">
        <v>123</v>
      </c>
      <c r="C40" s="2" t="s">
        <v>121</v>
      </c>
      <c r="D40" s="2" t="n">
        <v>2026</v>
      </c>
      <c r="E40" s="2" t="s">
        <v>46</v>
      </c>
      <c r="F40" s="2" t="s">
        <v>26</v>
      </c>
      <c r="G40" s="2" t="s">
        <v>52</v>
      </c>
      <c r="H40" s="2" t="s">
        <v>28</v>
      </c>
      <c r="I40" s="2" t="n">
        <v>0</v>
      </c>
    </row>
    <row r="41" customFormat="false" ht="15" hidden="false" customHeight="false" outlineLevel="0" collapsed="false">
      <c r="A41" s="2" t="s">
        <v>124</v>
      </c>
      <c r="B41" s="2" t="s">
        <v>125</v>
      </c>
      <c r="C41" s="2" t="s">
        <v>126</v>
      </c>
      <c r="D41" s="2" t="n">
        <v>2026</v>
      </c>
      <c r="E41" s="2" t="s">
        <v>12</v>
      </c>
      <c r="F41" s="2" t="s">
        <v>26</v>
      </c>
      <c r="G41" s="2" t="s">
        <v>37</v>
      </c>
      <c r="H41" s="2" t="s">
        <v>28</v>
      </c>
      <c r="I41" s="2" t="n">
        <v>0</v>
      </c>
    </row>
    <row r="42" customFormat="false" ht="15" hidden="false" customHeight="false" outlineLevel="0" collapsed="false">
      <c r="A42" s="2" t="s">
        <v>127</v>
      </c>
      <c r="B42" s="2" t="s">
        <v>128</v>
      </c>
      <c r="C42" s="2" t="s">
        <v>126</v>
      </c>
      <c r="D42" s="2" t="n">
        <v>2026</v>
      </c>
      <c r="E42" s="2" t="s">
        <v>12</v>
      </c>
      <c r="F42" s="2" t="s">
        <v>13</v>
      </c>
      <c r="G42" s="2" t="s">
        <v>73</v>
      </c>
      <c r="H42" s="2" t="s">
        <v>15</v>
      </c>
      <c r="I42" s="2" t="n">
        <v>0</v>
      </c>
    </row>
    <row r="43" customFormat="false" ht="15" hidden="false" customHeight="false" outlineLevel="0" collapsed="false">
      <c r="A43" s="2" t="s">
        <v>129</v>
      </c>
      <c r="B43" s="2" t="s">
        <v>130</v>
      </c>
      <c r="C43" s="2" t="s">
        <v>126</v>
      </c>
      <c r="D43" s="2" t="n">
        <v>2026</v>
      </c>
      <c r="E43" s="2" t="s">
        <v>12</v>
      </c>
      <c r="F43" s="2" t="s">
        <v>13</v>
      </c>
      <c r="G43" s="2" t="s">
        <v>107</v>
      </c>
      <c r="H43" s="2" t="s">
        <v>15</v>
      </c>
      <c r="I43" s="2" t="n">
        <v>0</v>
      </c>
    </row>
    <row r="44" customFormat="false" ht="15" hidden="false" customHeight="false" outlineLevel="0" collapsed="false">
      <c r="A44" s="2" t="s">
        <v>131</v>
      </c>
      <c r="B44" s="2" t="s">
        <v>132</v>
      </c>
      <c r="C44" s="2" t="s">
        <v>126</v>
      </c>
      <c r="D44" s="2" t="n">
        <v>2026</v>
      </c>
      <c r="E44" s="2" t="s">
        <v>12</v>
      </c>
      <c r="F44" s="2" t="s">
        <v>64</v>
      </c>
      <c r="G44" s="2" t="s">
        <v>52</v>
      </c>
      <c r="H44" s="2" t="s">
        <v>65</v>
      </c>
      <c r="I44" s="2" t="n">
        <v>0</v>
      </c>
    </row>
    <row r="45" customFormat="false" ht="15" hidden="false" customHeight="false" outlineLevel="0" collapsed="false">
      <c r="A45" s="2" t="s">
        <v>133</v>
      </c>
      <c r="B45" s="2" t="s">
        <v>134</v>
      </c>
      <c r="C45" s="2" t="s">
        <v>126</v>
      </c>
      <c r="D45" s="2" t="n">
        <v>2026</v>
      </c>
      <c r="E45" s="2" t="s">
        <v>12</v>
      </c>
      <c r="F45" s="2" t="s">
        <v>13</v>
      </c>
      <c r="G45" s="2" t="s">
        <v>73</v>
      </c>
      <c r="H45" s="2" t="s">
        <v>15</v>
      </c>
      <c r="I45" s="2" t="n">
        <v>0</v>
      </c>
    </row>
    <row r="46" customFormat="false" ht="15" hidden="false" customHeight="false" outlineLevel="0" collapsed="false">
      <c r="A46" s="2" t="s">
        <v>135</v>
      </c>
      <c r="B46" s="2" t="s">
        <v>136</v>
      </c>
      <c r="C46" s="2" t="s">
        <v>137</v>
      </c>
      <c r="D46" s="2" t="n">
        <v>2026</v>
      </c>
      <c r="E46" s="2" t="s">
        <v>12</v>
      </c>
      <c r="F46" s="2" t="s">
        <v>26</v>
      </c>
      <c r="G46" s="2" t="s">
        <v>52</v>
      </c>
      <c r="H46" s="2" t="s">
        <v>28</v>
      </c>
      <c r="I46" s="2" t="n">
        <v>0</v>
      </c>
    </row>
    <row r="47" customFormat="false" ht="15" hidden="false" customHeight="false" outlineLevel="0" collapsed="false">
      <c r="A47" s="2" t="s">
        <v>138</v>
      </c>
      <c r="B47" s="2" t="s">
        <v>139</v>
      </c>
      <c r="C47" s="2" t="s">
        <v>137</v>
      </c>
      <c r="D47" s="2" t="n">
        <v>2026</v>
      </c>
      <c r="E47" s="2" t="s">
        <v>12</v>
      </c>
      <c r="F47" s="2" t="s">
        <v>64</v>
      </c>
      <c r="G47" s="2" t="s">
        <v>37</v>
      </c>
      <c r="H47" s="2" t="s">
        <v>65</v>
      </c>
      <c r="I47" s="2" t="n">
        <v>0</v>
      </c>
    </row>
    <row r="48" customFormat="false" ht="15" hidden="false" customHeight="false" outlineLevel="0" collapsed="false">
      <c r="A48" s="2" t="s">
        <v>140</v>
      </c>
      <c r="B48" s="2" t="s">
        <v>141</v>
      </c>
      <c r="C48" s="2" t="s">
        <v>137</v>
      </c>
      <c r="D48" s="2" t="n">
        <v>2026</v>
      </c>
      <c r="E48" s="2" t="s">
        <v>12</v>
      </c>
      <c r="F48" s="2" t="s">
        <v>13</v>
      </c>
      <c r="G48" s="2" t="s">
        <v>73</v>
      </c>
      <c r="H48" s="2" t="s">
        <v>15</v>
      </c>
      <c r="I48" s="2" t="n">
        <v>0</v>
      </c>
    </row>
    <row r="49" customFormat="false" ht="15" hidden="false" customHeight="false" outlineLevel="0" collapsed="false">
      <c r="A49" s="2" t="s">
        <v>142</v>
      </c>
      <c r="B49" s="2" t="s">
        <v>143</v>
      </c>
      <c r="C49" s="2" t="s">
        <v>137</v>
      </c>
      <c r="D49" s="2" t="n">
        <v>2026</v>
      </c>
      <c r="E49" s="2" t="s">
        <v>12</v>
      </c>
      <c r="F49" s="2" t="s">
        <v>26</v>
      </c>
      <c r="G49" s="2" t="s">
        <v>37</v>
      </c>
      <c r="H49" s="2" t="s">
        <v>28</v>
      </c>
      <c r="I49" s="2" t="n">
        <v>0</v>
      </c>
    </row>
    <row r="50" customFormat="false" ht="15" hidden="false" customHeight="false" outlineLevel="0" collapsed="false">
      <c r="A50" s="2" t="s">
        <v>144</v>
      </c>
      <c r="B50" s="2" t="s">
        <v>145</v>
      </c>
      <c r="C50" s="2" t="s">
        <v>137</v>
      </c>
      <c r="D50" s="2" t="n">
        <v>2026</v>
      </c>
      <c r="E50" s="2" t="s">
        <v>12</v>
      </c>
      <c r="F50" s="2" t="s">
        <v>146</v>
      </c>
      <c r="G50" s="2" t="s">
        <v>23</v>
      </c>
      <c r="H50" s="2" t="s">
        <v>147</v>
      </c>
      <c r="I50" s="2" t="n">
        <v>0</v>
      </c>
    </row>
    <row r="51" customFormat="false" ht="15" hidden="false" customHeight="false" outlineLevel="0" collapsed="false">
      <c r="A51" s="2" t="s">
        <v>148</v>
      </c>
      <c r="B51" s="2" t="s">
        <v>149</v>
      </c>
      <c r="C51" s="2" t="s">
        <v>137</v>
      </c>
      <c r="D51" s="2" t="n">
        <v>2026</v>
      </c>
      <c r="E51" s="2" t="s">
        <v>40</v>
      </c>
      <c r="F51" s="2" t="s">
        <v>26</v>
      </c>
      <c r="G51" s="2" t="s">
        <v>27</v>
      </c>
      <c r="H51" s="2" t="s">
        <v>28</v>
      </c>
      <c r="I51" s="2" t="n">
        <v>0</v>
      </c>
    </row>
    <row r="52" customFormat="false" ht="15" hidden="false" customHeight="false" outlineLevel="0" collapsed="false">
      <c r="A52" s="2" t="s">
        <v>150</v>
      </c>
      <c r="B52" s="2" t="s">
        <v>151</v>
      </c>
      <c r="C52" s="2" t="s">
        <v>137</v>
      </c>
      <c r="D52" s="2" t="n">
        <v>2026</v>
      </c>
      <c r="E52" s="2" t="s">
        <v>40</v>
      </c>
      <c r="F52" s="2" t="s">
        <v>26</v>
      </c>
      <c r="G52" s="2" t="s">
        <v>37</v>
      </c>
      <c r="H52" s="2" t="s">
        <v>28</v>
      </c>
      <c r="I52" s="2" t="n">
        <v>0</v>
      </c>
    </row>
    <row r="53" customFormat="false" ht="15" hidden="false" customHeight="false" outlineLevel="0" collapsed="false">
      <c r="A53" s="2" t="s">
        <v>152</v>
      </c>
      <c r="B53" s="2" t="s">
        <v>153</v>
      </c>
      <c r="C53" s="2" t="s">
        <v>154</v>
      </c>
      <c r="D53" s="2" t="n">
        <v>2026</v>
      </c>
      <c r="E53" s="2" t="s">
        <v>46</v>
      </c>
      <c r="F53" s="2" t="s">
        <v>155</v>
      </c>
      <c r="G53" s="2" t="s">
        <v>34</v>
      </c>
      <c r="H53" s="2" t="s">
        <v>156</v>
      </c>
      <c r="I53" s="2" t="n">
        <v>0</v>
      </c>
    </row>
    <row r="54" customFormat="false" ht="15" hidden="false" customHeight="false" outlineLevel="0" collapsed="false">
      <c r="A54" s="2" t="s">
        <v>157</v>
      </c>
      <c r="B54" s="2" t="s">
        <v>158</v>
      </c>
      <c r="C54" s="2" t="s">
        <v>159</v>
      </c>
      <c r="D54" s="2" t="n">
        <v>2026</v>
      </c>
      <c r="E54" s="2" t="s">
        <v>12</v>
      </c>
      <c r="F54" s="2" t="s">
        <v>82</v>
      </c>
      <c r="G54" s="2" t="s">
        <v>23</v>
      </c>
      <c r="H54" s="2" t="s">
        <v>83</v>
      </c>
      <c r="I54" s="2" t="n">
        <v>0</v>
      </c>
    </row>
    <row r="55" customFormat="false" ht="15" hidden="false" customHeight="false" outlineLevel="0" collapsed="false">
      <c r="A55" s="2" t="s">
        <v>160</v>
      </c>
      <c r="B55" s="2" t="s">
        <v>161</v>
      </c>
      <c r="C55" s="2" t="s">
        <v>159</v>
      </c>
      <c r="D55" s="2" t="n">
        <v>2026</v>
      </c>
      <c r="E55" s="2" t="s">
        <v>12</v>
      </c>
      <c r="F55" s="2" t="s">
        <v>64</v>
      </c>
      <c r="G55" s="2" t="s">
        <v>73</v>
      </c>
      <c r="H55" s="2" t="s">
        <v>65</v>
      </c>
      <c r="I55" s="2" t="n">
        <v>0</v>
      </c>
    </row>
    <row r="56" customFormat="false" ht="15" hidden="false" customHeight="false" outlineLevel="0" collapsed="false">
      <c r="A56" s="2" t="s">
        <v>162</v>
      </c>
      <c r="B56" s="2" t="s">
        <v>163</v>
      </c>
      <c r="C56" s="2" t="s">
        <v>159</v>
      </c>
      <c r="D56" s="2" t="n">
        <v>2026</v>
      </c>
      <c r="E56" s="2" t="s">
        <v>12</v>
      </c>
      <c r="F56" s="2" t="s">
        <v>64</v>
      </c>
      <c r="G56" s="2" t="s">
        <v>107</v>
      </c>
      <c r="H56" s="2" t="s">
        <v>65</v>
      </c>
      <c r="I56" s="2" t="n">
        <v>0</v>
      </c>
    </row>
    <row r="57" customFormat="false" ht="15" hidden="false" customHeight="false" outlineLevel="0" collapsed="false">
      <c r="A57" s="2" t="s">
        <v>164</v>
      </c>
      <c r="B57" s="2" t="s">
        <v>165</v>
      </c>
      <c r="C57" s="2" t="s">
        <v>166</v>
      </c>
      <c r="D57" s="2" t="n">
        <v>2026</v>
      </c>
      <c r="E57" s="2" t="s">
        <v>12</v>
      </c>
      <c r="F57" s="2" t="s">
        <v>13</v>
      </c>
      <c r="G57" s="2" t="s">
        <v>73</v>
      </c>
      <c r="H57" s="2" t="s">
        <v>15</v>
      </c>
      <c r="I57" s="2" t="n">
        <v>0</v>
      </c>
    </row>
    <row r="58" customFormat="false" ht="15" hidden="false" customHeight="false" outlineLevel="0" collapsed="false">
      <c r="A58" s="2" t="s">
        <v>167</v>
      </c>
      <c r="B58" s="2" t="s">
        <v>168</v>
      </c>
      <c r="C58" s="2" t="s">
        <v>166</v>
      </c>
      <c r="D58" s="2" t="n">
        <v>2026</v>
      </c>
      <c r="E58" s="2" t="s">
        <v>12</v>
      </c>
      <c r="F58" s="2" t="s">
        <v>13</v>
      </c>
      <c r="G58" s="2" t="s">
        <v>23</v>
      </c>
      <c r="H58" s="2" t="s">
        <v>15</v>
      </c>
      <c r="I58" s="2" t="n">
        <v>0</v>
      </c>
    </row>
    <row r="59" customFormat="false" ht="15" hidden="false" customHeight="false" outlineLevel="0" collapsed="false">
      <c r="A59" s="2" t="s">
        <v>169</v>
      </c>
      <c r="B59" s="2" t="s">
        <v>170</v>
      </c>
      <c r="C59" s="2" t="s">
        <v>166</v>
      </c>
      <c r="D59" s="2" t="n">
        <v>2026</v>
      </c>
      <c r="E59" s="2" t="s">
        <v>12</v>
      </c>
      <c r="F59" s="2" t="s">
        <v>13</v>
      </c>
      <c r="G59" s="2" t="s">
        <v>37</v>
      </c>
      <c r="H59" s="2" t="s">
        <v>15</v>
      </c>
      <c r="I59" s="2" t="n">
        <v>0</v>
      </c>
    </row>
    <row r="60" customFormat="false" ht="15" hidden="false" customHeight="false" outlineLevel="0" collapsed="false">
      <c r="A60" s="2" t="s">
        <v>171</v>
      </c>
      <c r="B60" s="2" t="s">
        <v>172</v>
      </c>
      <c r="C60" s="2" t="s">
        <v>173</v>
      </c>
      <c r="D60" s="2" t="n">
        <v>2026</v>
      </c>
      <c r="E60" s="2" t="s">
        <v>46</v>
      </c>
      <c r="F60" s="2" t="s">
        <v>64</v>
      </c>
      <c r="G60" s="2" t="s">
        <v>52</v>
      </c>
      <c r="H60" s="2" t="s">
        <v>174</v>
      </c>
      <c r="I60" s="2" t="n">
        <v>0</v>
      </c>
    </row>
    <row r="61" customFormat="false" ht="15" hidden="false" customHeight="false" outlineLevel="0" collapsed="false">
      <c r="A61" s="2" t="s">
        <v>175</v>
      </c>
      <c r="B61" s="2" t="s">
        <v>176</v>
      </c>
      <c r="C61" s="2" t="s">
        <v>173</v>
      </c>
      <c r="D61" s="2" t="n">
        <v>2026</v>
      </c>
      <c r="E61" s="2" t="s">
        <v>46</v>
      </c>
      <c r="F61" s="2" t="s">
        <v>155</v>
      </c>
      <c r="G61" s="2" t="s">
        <v>14</v>
      </c>
      <c r="H61" s="2" t="s">
        <v>177</v>
      </c>
      <c r="I61" s="2" t="n">
        <v>0</v>
      </c>
    </row>
    <row r="62" customFormat="false" ht="15" hidden="false" customHeight="false" outlineLevel="0" collapsed="false">
      <c r="A62" s="2" t="s">
        <v>178</v>
      </c>
      <c r="B62" s="2" t="s">
        <v>179</v>
      </c>
      <c r="C62" s="2" t="s">
        <v>180</v>
      </c>
      <c r="D62" s="2" t="n">
        <v>2026</v>
      </c>
      <c r="E62" s="2" t="s">
        <v>60</v>
      </c>
      <c r="F62" s="2" t="s">
        <v>26</v>
      </c>
      <c r="G62" s="2" t="s">
        <v>37</v>
      </c>
      <c r="H62" s="2" t="s">
        <v>28</v>
      </c>
      <c r="I62" s="2" t="n">
        <v>0</v>
      </c>
    </row>
    <row r="63" customFormat="false" ht="15" hidden="false" customHeight="false" outlineLevel="0" collapsed="false">
      <c r="A63" s="2" t="s">
        <v>181</v>
      </c>
      <c r="B63" s="2" t="s">
        <v>182</v>
      </c>
      <c r="C63" s="2" t="s">
        <v>180</v>
      </c>
      <c r="D63" s="2" t="n">
        <v>2026</v>
      </c>
      <c r="E63" s="2" t="s">
        <v>12</v>
      </c>
      <c r="F63" s="2" t="s">
        <v>26</v>
      </c>
      <c r="G63" s="2" t="s">
        <v>37</v>
      </c>
      <c r="H63" s="2" t="s">
        <v>28</v>
      </c>
      <c r="I63" s="2" t="n">
        <v>0</v>
      </c>
    </row>
    <row r="64" customFormat="false" ht="15" hidden="false" customHeight="false" outlineLevel="0" collapsed="false">
      <c r="A64" s="2" t="s">
        <v>183</v>
      </c>
      <c r="B64" s="2" t="s">
        <v>184</v>
      </c>
      <c r="C64" s="2" t="s">
        <v>185</v>
      </c>
      <c r="D64" s="2" t="n">
        <v>2026</v>
      </c>
      <c r="E64" s="2" t="s">
        <v>12</v>
      </c>
      <c r="F64" s="2" t="s">
        <v>13</v>
      </c>
      <c r="G64" s="2" t="s">
        <v>14</v>
      </c>
      <c r="H64" s="2" t="s">
        <v>15</v>
      </c>
      <c r="I64" s="2" t="n">
        <v>0</v>
      </c>
    </row>
    <row r="65" customFormat="false" ht="15" hidden="false" customHeight="false" outlineLevel="0" collapsed="false">
      <c r="A65" s="2" t="s">
        <v>186</v>
      </c>
      <c r="B65" s="2" t="s">
        <v>187</v>
      </c>
      <c r="C65" s="2" t="s">
        <v>185</v>
      </c>
      <c r="D65" s="2" t="n">
        <v>2026</v>
      </c>
      <c r="E65" s="2" t="s">
        <v>12</v>
      </c>
      <c r="F65" s="2" t="s">
        <v>55</v>
      </c>
      <c r="G65" s="2" t="s">
        <v>14</v>
      </c>
      <c r="H65" s="2" t="s">
        <v>56</v>
      </c>
      <c r="I65" s="2" t="n">
        <v>0</v>
      </c>
    </row>
    <row r="66" customFormat="false" ht="15" hidden="false" customHeight="false" outlineLevel="0" collapsed="false">
      <c r="A66" s="2" t="s">
        <v>188</v>
      </c>
      <c r="B66" s="2" t="s">
        <v>189</v>
      </c>
      <c r="C66" s="2" t="s">
        <v>185</v>
      </c>
      <c r="D66" s="2" t="n">
        <v>2026</v>
      </c>
      <c r="E66" s="2" t="s">
        <v>12</v>
      </c>
      <c r="F66" s="2" t="s">
        <v>64</v>
      </c>
      <c r="G66" s="2" t="s">
        <v>52</v>
      </c>
      <c r="H66" s="2" t="s">
        <v>65</v>
      </c>
      <c r="I66" s="2" t="n">
        <v>0</v>
      </c>
    </row>
    <row r="67" customFormat="false" ht="15" hidden="false" customHeight="false" outlineLevel="0" collapsed="false">
      <c r="A67" s="2" t="s">
        <v>190</v>
      </c>
      <c r="B67" s="2" t="s">
        <v>191</v>
      </c>
      <c r="C67" s="2" t="s">
        <v>192</v>
      </c>
      <c r="D67" s="2" t="n">
        <v>2026</v>
      </c>
      <c r="E67" s="2" t="s">
        <v>46</v>
      </c>
      <c r="F67" s="2" t="s">
        <v>26</v>
      </c>
      <c r="G67" s="2" t="s">
        <v>37</v>
      </c>
      <c r="H67" s="2" t="s">
        <v>28</v>
      </c>
      <c r="I67" s="2" t="n">
        <v>0</v>
      </c>
    </row>
    <row r="68" customFormat="false" ht="15" hidden="false" customHeight="false" outlineLevel="0" collapsed="false">
      <c r="A68" s="2" t="s">
        <v>193</v>
      </c>
      <c r="B68" s="2" t="s">
        <v>194</v>
      </c>
      <c r="C68" s="2" t="s">
        <v>195</v>
      </c>
      <c r="D68" s="2" t="n">
        <v>2026</v>
      </c>
      <c r="E68" s="2" t="s">
        <v>12</v>
      </c>
      <c r="F68" s="2" t="s">
        <v>26</v>
      </c>
      <c r="G68" s="2" t="s">
        <v>27</v>
      </c>
      <c r="H68" s="2" t="s">
        <v>28</v>
      </c>
      <c r="I68" s="2" t="n">
        <v>0</v>
      </c>
    </row>
    <row r="69" customFormat="false" ht="15" hidden="false" customHeight="false" outlineLevel="0" collapsed="false">
      <c r="A69" s="2" t="s">
        <v>196</v>
      </c>
      <c r="B69" s="2" t="s">
        <v>197</v>
      </c>
      <c r="C69" s="2" t="s">
        <v>195</v>
      </c>
      <c r="D69" s="2" t="n">
        <v>2026</v>
      </c>
      <c r="E69" s="2" t="s">
        <v>12</v>
      </c>
      <c r="F69" s="2" t="s">
        <v>13</v>
      </c>
      <c r="G69" s="2" t="s">
        <v>49</v>
      </c>
      <c r="H69" s="2" t="s">
        <v>15</v>
      </c>
      <c r="I69" s="2" t="n">
        <v>0</v>
      </c>
    </row>
    <row r="70" customFormat="false" ht="15" hidden="false" customHeight="false" outlineLevel="0" collapsed="false">
      <c r="A70" s="2" t="s">
        <v>198</v>
      </c>
      <c r="B70" s="2" t="s">
        <v>199</v>
      </c>
      <c r="C70" s="2" t="s">
        <v>200</v>
      </c>
      <c r="D70" s="2" t="n">
        <v>2026</v>
      </c>
      <c r="E70" s="2" t="s">
        <v>40</v>
      </c>
      <c r="F70" s="2" t="s">
        <v>26</v>
      </c>
      <c r="G70" s="2" t="s">
        <v>37</v>
      </c>
      <c r="H70" s="2" t="s">
        <v>28</v>
      </c>
      <c r="I70" s="2" t="n">
        <v>0</v>
      </c>
    </row>
    <row r="71" customFormat="false" ht="15" hidden="false" customHeight="false" outlineLevel="0" collapsed="false">
      <c r="A71" s="2" t="s">
        <v>201</v>
      </c>
      <c r="B71" s="2" t="s">
        <v>202</v>
      </c>
      <c r="C71" s="2" t="s">
        <v>200</v>
      </c>
      <c r="D71" s="2" t="n">
        <v>2026</v>
      </c>
      <c r="E71" s="2" t="s">
        <v>40</v>
      </c>
      <c r="F71" s="2" t="s">
        <v>26</v>
      </c>
      <c r="G71" s="2" t="s">
        <v>52</v>
      </c>
      <c r="H71" s="2" t="s">
        <v>28</v>
      </c>
      <c r="I71" s="2" t="n">
        <v>0</v>
      </c>
    </row>
    <row r="72" customFormat="false" ht="15" hidden="false" customHeight="false" outlineLevel="0" collapsed="false">
      <c r="A72" s="2" t="s">
        <v>203</v>
      </c>
      <c r="B72" s="2" t="s">
        <v>204</v>
      </c>
      <c r="C72" s="2" t="s">
        <v>205</v>
      </c>
      <c r="D72" s="2" t="n">
        <v>2026</v>
      </c>
      <c r="E72" s="2" t="s">
        <v>12</v>
      </c>
      <c r="F72" s="2" t="s">
        <v>26</v>
      </c>
      <c r="G72" s="2" t="s">
        <v>52</v>
      </c>
      <c r="H72" s="2" t="s">
        <v>28</v>
      </c>
      <c r="I72" s="2" t="n">
        <v>0</v>
      </c>
    </row>
    <row r="73" customFormat="false" ht="15" hidden="false" customHeight="false" outlineLevel="0" collapsed="false">
      <c r="A73" s="2" t="s">
        <v>206</v>
      </c>
      <c r="B73" s="2" t="s">
        <v>207</v>
      </c>
      <c r="C73" s="2" t="s">
        <v>205</v>
      </c>
      <c r="D73" s="2" t="n">
        <v>2026</v>
      </c>
      <c r="E73" s="2" t="s">
        <v>12</v>
      </c>
      <c r="F73" s="2" t="s">
        <v>64</v>
      </c>
      <c r="G73" s="2" t="s">
        <v>14</v>
      </c>
      <c r="H73" s="2" t="s">
        <v>65</v>
      </c>
      <c r="I73" s="2" t="n">
        <v>0</v>
      </c>
    </row>
    <row r="74" customFormat="false" ht="15" hidden="false" customHeight="false" outlineLevel="0" collapsed="false">
      <c r="A74" s="2" t="s">
        <v>208</v>
      </c>
      <c r="B74" s="2" t="s">
        <v>209</v>
      </c>
      <c r="C74" s="2" t="s">
        <v>205</v>
      </c>
      <c r="D74" s="2" t="n">
        <v>2026</v>
      </c>
      <c r="E74" s="2" t="s">
        <v>12</v>
      </c>
      <c r="F74" s="2" t="s">
        <v>26</v>
      </c>
      <c r="G74" s="2" t="s">
        <v>49</v>
      </c>
      <c r="H74" s="2" t="s">
        <v>28</v>
      </c>
      <c r="I74" s="2" t="n">
        <v>1</v>
      </c>
    </row>
    <row r="75" customFormat="false" ht="15" hidden="false" customHeight="false" outlineLevel="0" collapsed="false">
      <c r="A75" s="2" t="s">
        <v>210</v>
      </c>
      <c r="B75" s="2" t="s">
        <v>211</v>
      </c>
      <c r="C75" s="2" t="s">
        <v>205</v>
      </c>
      <c r="D75" s="2" t="n">
        <v>2026</v>
      </c>
      <c r="E75" s="2" t="s">
        <v>12</v>
      </c>
      <c r="F75" s="2" t="s">
        <v>13</v>
      </c>
      <c r="G75" s="2" t="s">
        <v>23</v>
      </c>
      <c r="H75" s="2" t="s">
        <v>15</v>
      </c>
      <c r="I75" s="2" t="n">
        <v>0</v>
      </c>
    </row>
    <row r="76" customFormat="false" ht="15" hidden="false" customHeight="false" outlineLevel="0" collapsed="false">
      <c r="A76" s="2" t="s">
        <v>212</v>
      </c>
      <c r="B76" s="2" t="s">
        <v>213</v>
      </c>
      <c r="C76" s="2" t="s">
        <v>205</v>
      </c>
      <c r="D76" s="2" t="n">
        <v>2026</v>
      </c>
      <c r="E76" s="2" t="s">
        <v>12</v>
      </c>
      <c r="F76" s="2" t="s">
        <v>64</v>
      </c>
      <c r="G76" s="2" t="s">
        <v>14</v>
      </c>
      <c r="H76" s="2" t="s">
        <v>65</v>
      </c>
      <c r="I76" s="2" t="n">
        <v>0</v>
      </c>
    </row>
    <row r="77" customFormat="false" ht="15" hidden="false" customHeight="false" outlineLevel="0" collapsed="false">
      <c r="A77" s="2" t="s">
        <v>214</v>
      </c>
      <c r="B77" s="2" t="s">
        <v>215</v>
      </c>
      <c r="C77" s="2" t="s">
        <v>205</v>
      </c>
      <c r="D77" s="2" t="n">
        <v>2026</v>
      </c>
      <c r="E77" s="2" t="s">
        <v>12</v>
      </c>
      <c r="F77" s="2" t="s">
        <v>26</v>
      </c>
      <c r="G77" s="2" t="s">
        <v>27</v>
      </c>
      <c r="H77" s="2" t="s">
        <v>28</v>
      </c>
      <c r="I77" s="2" t="n">
        <v>0</v>
      </c>
    </row>
    <row r="78" customFormat="false" ht="15" hidden="false" customHeight="false" outlineLevel="0" collapsed="false">
      <c r="A78" s="2" t="s">
        <v>216</v>
      </c>
      <c r="B78" s="2" t="s">
        <v>217</v>
      </c>
      <c r="C78" s="2" t="s">
        <v>218</v>
      </c>
      <c r="D78" s="2" t="n">
        <v>2026</v>
      </c>
      <c r="E78" s="2" t="s">
        <v>219</v>
      </c>
      <c r="F78" s="2" t="s">
        <v>13</v>
      </c>
      <c r="G78" s="2" t="s">
        <v>23</v>
      </c>
      <c r="H78" s="2" t="s">
        <v>15</v>
      </c>
      <c r="I78" s="2" t="n">
        <v>0</v>
      </c>
    </row>
    <row r="79" customFormat="false" ht="15" hidden="false" customHeight="false" outlineLevel="0" collapsed="false">
      <c r="A79" s="2" t="s">
        <v>220</v>
      </c>
      <c r="B79" s="2" t="s">
        <v>221</v>
      </c>
      <c r="C79" s="2" t="s">
        <v>222</v>
      </c>
      <c r="D79" s="2" t="n">
        <v>2026</v>
      </c>
      <c r="E79" s="2" t="s">
        <v>12</v>
      </c>
      <c r="F79" s="2" t="s">
        <v>82</v>
      </c>
      <c r="G79" s="2" t="s">
        <v>37</v>
      </c>
      <c r="H79" s="2" t="s">
        <v>83</v>
      </c>
      <c r="I79" s="2" t="n">
        <v>0</v>
      </c>
    </row>
    <row r="80" customFormat="false" ht="15" hidden="false" customHeight="false" outlineLevel="0" collapsed="false">
      <c r="A80" s="2" t="s">
        <v>223</v>
      </c>
      <c r="B80" s="2" t="s">
        <v>224</v>
      </c>
      <c r="C80" s="2" t="s">
        <v>222</v>
      </c>
      <c r="D80" s="2" t="n">
        <v>2026</v>
      </c>
      <c r="E80" s="2" t="s">
        <v>12</v>
      </c>
      <c r="F80" s="2" t="s">
        <v>13</v>
      </c>
      <c r="G80" s="2" t="s">
        <v>37</v>
      </c>
      <c r="H80" s="2" t="s">
        <v>15</v>
      </c>
      <c r="I80" s="2" t="n">
        <v>0</v>
      </c>
    </row>
    <row r="81" customFormat="false" ht="15" hidden="false" customHeight="false" outlineLevel="0" collapsed="false">
      <c r="A81" s="2" t="s">
        <v>225</v>
      </c>
      <c r="B81" s="2" t="s">
        <v>226</v>
      </c>
      <c r="C81" s="2" t="s">
        <v>227</v>
      </c>
      <c r="D81" s="2" t="n">
        <v>2026</v>
      </c>
      <c r="E81" s="2" t="s">
        <v>12</v>
      </c>
      <c r="F81" s="2" t="s">
        <v>82</v>
      </c>
      <c r="G81" s="2" t="s">
        <v>14</v>
      </c>
      <c r="H81" s="2" t="s">
        <v>83</v>
      </c>
      <c r="I81" s="2" t="n">
        <v>0</v>
      </c>
    </row>
    <row r="82" customFormat="false" ht="15" hidden="false" customHeight="false" outlineLevel="0" collapsed="false">
      <c r="A82" s="2" t="s">
        <v>228</v>
      </c>
      <c r="B82" s="2" t="s">
        <v>229</v>
      </c>
      <c r="C82" s="2" t="s">
        <v>227</v>
      </c>
      <c r="D82" s="2" t="n">
        <v>2026</v>
      </c>
      <c r="E82" s="2" t="s">
        <v>12</v>
      </c>
      <c r="F82" s="2" t="s">
        <v>13</v>
      </c>
      <c r="G82" s="2" t="s">
        <v>23</v>
      </c>
      <c r="H82" s="2" t="s">
        <v>15</v>
      </c>
      <c r="I82" s="2" t="n">
        <v>0</v>
      </c>
    </row>
    <row r="83" customFormat="false" ht="15" hidden="false" customHeight="false" outlineLevel="0" collapsed="false">
      <c r="A83" s="2" t="s">
        <v>230</v>
      </c>
      <c r="B83" s="2" t="s">
        <v>231</v>
      </c>
      <c r="C83" s="2" t="s">
        <v>227</v>
      </c>
      <c r="D83" s="2" t="n">
        <v>2026</v>
      </c>
      <c r="E83" s="2" t="s">
        <v>12</v>
      </c>
      <c r="F83" s="2" t="s">
        <v>64</v>
      </c>
      <c r="G83" s="2" t="s">
        <v>27</v>
      </c>
      <c r="H83" s="2" t="s">
        <v>65</v>
      </c>
      <c r="I83" s="2" t="n">
        <v>0</v>
      </c>
    </row>
    <row r="84" customFormat="false" ht="15" hidden="false" customHeight="false" outlineLevel="0" collapsed="false">
      <c r="A84" s="2" t="s">
        <v>232</v>
      </c>
      <c r="B84" s="2" t="s">
        <v>233</v>
      </c>
      <c r="C84" s="2" t="s">
        <v>227</v>
      </c>
      <c r="D84" s="2" t="n">
        <v>2026</v>
      </c>
      <c r="E84" s="2" t="s">
        <v>12</v>
      </c>
      <c r="F84" s="2" t="s">
        <v>64</v>
      </c>
      <c r="G84" s="2" t="s">
        <v>49</v>
      </c>
      <c r="H84" s="2" t="s">
        <v>65</v>
      </c>
      <c r="I84" s="2" t="n">
        <v>0</v>
      </c>
    </row>
    <row r="85" customFormat="false" ht="15" hidden="false" customHeight="false" outlineLevel="0" collapsed="false">
      <c r="A85" s="2" t="s">
        <v>234</v>
      </c>
      <c r="B85" s="2" t="s">
        <v>235</v>
      </c>
      <c r="C85" s="2" t="s">
        <v>227</v>
      </c>
      <c r="D85" s="2" t="n">
        <v>2026</v>
      </c>
      <c r="E85" s="2" t="s">
        <v>12</v>
      </c>
      <c r="F85" s="2" t="s">
        <v>13</v>
      </c>
      <c r="G85" s="2" t="s">
        <v>23</v>
      </c>
      <c r="H85" s="2" t="s">
        <v>15</v>
      </c>
      <c r="I85" s="2" t="n">
        <v>0</v>
      </c>
    </row>
    <row r="86" customFormat="false" ht="15" hidden="false" customHeight="false" outlineLevel="0" collapsed="false">
      <c r="A86" s="2" t="s">
        <v>236</v>
      </c>
      <c r="B86" s="2" t="s">
        <v>237</v>
      </c>
      <c r="C86" s="2" t="s">
        <v>227</v>
      </c>
      <c r="D86" s="2" t="n">
        <v>2026</v>
      </c>
      <c r="E86" s="2" t="s">
        <v>12</v>
      </c>
      <c r="F86" s="2" t="s">
        <v>13</v>
      </c>
      <c r="G86" s="2" t="s">
        <v>23</v>
      </c>
      <c r="H86" s="2" t="s">
        <v>15</v>
      </c>
      <c r="I86" s="2" t="n">
        <v>0</v>
      </c>
    </row>
    <row r="87" customFormat="false" ht="15" hidden="false" customHeight="false" outlineLevel="0" collapsed="false">
      <c r="A87" s="2" t="s">
        <v>238</v>
      </c>
      <c r="B87" s="2" t="s">
        <v>239</v>
      </c>
      <c r="C87" s="2" t="s">
        <v>227</v>
      </c>
      <c r="D87" s="2" t="n">
        <v>2026</v>
      </c>
      <c r="E87" s="2" t="s">
        <v>40</v>
      </c>
      <c r="F87" s="2" t="s">
        <v>26</v>
      </c>
      <c r="G87" s="2" t="s">
        <v>19</v>
      </c>
      <c r="H87" s="2" t="s">
        <v>28</v>
      </c>
      <c r="I87" s="2" t="n">
        <v>0</v>
      </c>
    </row>
    <row r="88" customFormat="false" ht="15" hidden="false" customHeight="false" outlineLevel="0" collapsed="false">
      <c r="A88" s="2" t="s">
        <v>240</v>
      </c>
      <c r="B88" s="2" t="s">
        <v>241</v>
      </c>
      <c r="C88" s="2" t="s">
        <v>242</v>
      </c>
      <c r="D88" s="2" t="n">
        <v>2026</v>
      </c>
      <c r="E88" s="2" t="s">
        <v>12</v>
      </c>
      <c r="F88" s="2" t="s">
        <v>64</v>
      </c>
      <c r="G88" s="2" t="s">
        <v>37</v>
      </c>
      <c r="H88" s="2" t="s">
        <v>65</v>
      </c>
      <c r="I88" s="2" t="n">
        <v>0</v>
      </c>
    </row>
    <row r="89" customFormat="false" ht="15" hidden="false" customHeight="false" outlineLevel="0" collapsed="false">
      <c r="A89" s="2" t="s">
        <v>243</v>
      </c>
      <c r="B89" s="2" t="s">
        <v>244</v>
      </c>
      <c r="C89" s="2" t="s">
        <v>242</v>
      </c>
      <c r="D89" s="2" t="n">
        <v>2026</v>
      </c>
      <c r="E89" s="2" t="s">
        <v>12</v>
      </c>
      <c r="F89" s="2" t="s">
        <v>26</v>
      </c>
      <c r="G89" s="2" t="s">
        <v>52</v>
      </c>
      <c r="H89" s="2" t="s">
        <v>28</v>
      </c>
      <c r="I89" s="2" t="n">
        <v>0</v>
      </c>
    </row>
    <row r="90" customFormat="false" ht="15" hidden="false" customHeight="false" outlineLevel="0" collapsed="false">
      <c r="A90" s="2" t="s">
        <v>245</v>
      </c>
      <c r="B90" s="2" t="s">
        <v>246</v>
      </c>
      <c r="C90" s="2" t="s">
        <v>242</v>
      </c>
      <c r="D90" s="2" t="n">
        <v>2026</v>
      </c>
      <c r="E90" s="2" t="s">
        <v>12</v>
      </c>
      <c r="F90" s="2" t="s">
        <v>64</v>
      </c>
      <c r="G90" s="2" t="s">
        <v>37</v>
      </c>
      <c r="H90" s="2" t="s">
        <v>65</v>
      </c>
      <c r="I90" s="2" t="n">
        <v>0</v>
      </c>
    </row>
    <row r="91" customFormat="false" ht="15" hidden="false" customHeight="false" outlineLevel="0" collapsed="false">
      <c r="A91" s="2" t="s">
        <v>247</v>
      </c>
      <c r="B91" s="2" t="s">
        <v>248</v>
      </c>
      <c r="C91" s="2" t="s">
        <v>242</v>
      </c>
      <c r="D91" s="2" t="n">
        <v>2026</v>
      </c>
      <c r="E91" s="2" t="s">
        <v>12</v>
      </c>
      <c r="F91" s="2" t="s">
        <v>146</v>
      </c>
      <c r="G91" s="2" t="s">
        <v>73</v>
      </c>
      <c r="H91" s="2" t="s">
        <v>147</v>
      </c>
      <c r="I91" s="2" t="n">
        <v>0</v>
      </c>
    </row>
    <row r="92" customFormat="false" ht="15" hidden="false" customHeight="false" outlineLevel="0" collapsed="false">
      <c r="A92" s="2" t="s">
        <v>249</v>
      </c>
      <c r="B92" s="2" t="s">
        <v>250</v>
      </c>
      <c r="C92" s="2" t="s">
        <v>242</v>
      </c>
      <c r="D92" s="2" t="n">
        <v>2026</v>
      </c>
      <c r="E92" s="2" t="s">
        <v>12</v>
      </c>
      <c r="F92" s="2" t="s">
        <v>64</v>
      </c>
      <c r="G92" s="2" t="s">
        <v>27</v>
      </c>
      <c r="H92" s="2" t="s">
        <v>65</v>
      </c>
      <c r="I92" s="2" t="n">
        <v>0</v>
      </c>
    </row>
    <row r="93" customFormat="false" ht="15" hidden="false" customHeight="false" outlineLevel="0" collapsed="false">
      <c r="A93" s="2" t="s">
        <v>251</v>
      </c>
      <c r="B93" s="2" t="s">
        <v>252</v>
      </c>
      <c r="C93" s="2" t="s">
        <v>242</v>
      </c>
      <c r="D93" s="2" t="n">
        <v>2026</v>
      </c>
      <c r="E93" s="2" t="s">
        <v>12</v>
      </c>
      <c r="F93" s="2" t="s">
        <v>64</v>
      </c>
      <c r="G93" s="2" t="s">
        <v>107</v>
      </c>
      <c r="H93" s="2" t="s">
        <v>65</v>
      </c>
      <c r="I93" s="2" t="n">
        <v>0</v>
      </c>
    </row>
    <row r="94" customFormat="false" ht="15" hidden="false" customHeight="false" outlineLevel="0" collapsed="false">
      <c r="A94" s="2" t="s">
        <v>253</v>
      </c>
      <c r="B94" s="2" t="s">
        <v>254</v>
      </c>
      <c r="C94" s="2" t="s">
        <v>242</v>
      </c>
      <c r="D94" s="2" t="n">
        <v>2026</v>
      </c>
      <c r="E94" s="2" t="s">
        <v>12</v>
      </c>
      <c r="F94" s="2" t="s">
        <v>13</v>
      </c>
      <c r="G94" s="2" t="s">
        <v>73</v>
      </c>
      <c r="H94" s="2" t="s">
        <v>15</v>
      </c>
      <c r="I94" s="2" t="n">
        <v>0</v>
      </c>
    </row>
    <row r="95" customFormat="false" ht="15" hidden="false" customHeight="false" outlineLevel="0" collapsed="false">
      <c r="A95" s="2" t="s">
        <v>255</v>
      </c>
      <c r="B95" s="2" t="s">
        <v>256</v>
      </c>
      <c r="C95" s="2" t="s">
        <v>242</v>
      </c>
      <c r="D95" s="2" t="n">
        <v>2026</v>
      </c>
      <c r="E95" s="2" t="s">
        <v>12</v>
      </c>
      <c r="F95" s="2" t="s">
        <v>26</v>
      </c>
      <c r="G95" s="2" t="s">
        <v>49</v>
      </c>
      <c r="H95" s="2" t="s">
        <v>28</v>
      </c>
      <c r="I95" s="2" t="n">
        <v>0</v>
      </c>
    </row>
    <row r="96" customFormat="false" ht="15" hidden="false" customHeight="false" outlineLevel="0" collapsed="false">
      <c r="A96" s="2" t="s">
        <v>257</v>
      </c>
      <c r="B96" s="2" t="s">
        <v>258</v>
      </c>
      <c r="C96" s="2" t="s">
        <v>259</v>
      </c>
      <c r="D96" s="2" t="n">
        <v>2026</v>
      </c>
      <c r="E96" s="2" t="s">
        <v>12</v>
      </c>
      <c r="F96" s="2" t="s">
        <v>26</v>
      </c>
      <c r="G96" s="2" t="s">
        <v>107</v>
      </c>
      <c r="H96" s="2" t="s">
        <v>28</v>
      </c>
      <c r="I96" s="2" t="n">
        <v>0</v>
      </c>
    </row>
    <row r="97" customFormat="false" ht="15" hidden="false" customHeight="false" outlineLevel="0" collapsed="false">
      <c r="A97" s="2" t="s">
        <v>260</v>
      </c>
      <c r="B97" s="2" t="s">
        <v>261</v>
      </c>
      <c r="C97" s="2" t="s">
        <v>259</v>
      </c>
      <c r="D97" s="2" t="n">
        <v>2026</v>
      </c>
      <c r="E97" s="2" t="s">
        <v>12</v>
      </c>
      <c r="F97" s="2" t="s">
        <v>26</v>
      </c>
      <c r="G97" s="2" t="s">
        <v>37</v>
      </c>
      <c r="H97" s="2" t="s">
        <v>28</v>
      </c>
      <c r="I97" s="2" t="n">
        <v>0</v>
      </c>
    </row>
    <row r="98" customFormat="false" ht="15" hidden="false" customHeight="false" outlineLevel="0" collapsed="false">
      <c r="A98" s="2" t="s">
        <v>262</v>
      </c>
      <c r="B98" s="2" t="s">
        <v>263</v>
      </c>
      <c r="C98" s="2" t="s">
        <v>259</v>
      </c>
      <c r="D98" s="2" t="n">
        <v>2026</v>
      </c>
      <c r="E98" s="2" t="s">
        <v>12</v>
      </c>
      <c r="F98" s="2" t="s">
        <v>13</v>
      </c>
      <c r="G98" s="2" t="s">
        <v>73</v>
      </c>
      <c r="H98" s="2" t="s">
        <v>15</v>
      </c>
      <c r="I98" s="2" t="n">
        <v>0</v>
      </c>
    </row>
    <row r="99" customFormat="false" ht="15" hidden="false" customHeight="false" outlineLevel="0" collapsed="false">
      <c r="A99" s="2" t="s">
        <v>264</v>
      </c>
      <c r="B99" s="2" t="s">
        <v>265</v>
      </c>
      <c r="C99" s="2" t="s">
        <v>259</v>
      </c>
      <c r="D99" s="2" t="n">
        <v>2026</v>
      </c>
      <c r="E99" s="2" t="s">
        <v>12</v>
      </c>
      <c r="F99" s="2" t="s">
        <v>72</v>
      </c>
      <c r="G99" s="2" t="s">
        <v>73</v>
      </c>
      <c r="H99" s="2" t="s">
        <v>74</v>
      </c>
      <c r="I99" s="2" t="n">
        <v>0</v>
      </c>
    </row>
    <row r="100" customFormat="false" ht="15" hidden="false" customHeight="false" outlineLevel="0" collapsed="false">
      <c r="A100" s="2" t="s">
        <v>266</v>
      </c>
      <c r="B100" s="2" t="s">
        <v>267</v>
      </c>
      <c r="C100" s="2" t="s">
        <v>259</v>
      </c>
      <c r="D100" s="2" t="n">
        <v>2026</v>
      </c>
      <c r="E100" s="2" t="s">
        <v>12</v>
      </c>
      <c r="F100" s="2" t="s">
        <v>146</v>
      </c>
      <c r="G100" s="2" t="s">
        <v>49</v>
      </c>
      <c r="H100" s="2" t="s">
        <v>147</v>
      </c>
      <c r="I100" s="2" t="n">
        <v>0</v>
      </c>
    </row>
    <row r="101" customFormat="false" ht="15" hidden="false" customHeight="false" outlineLevel="0" collapsed="false">
      <c r="A101" s="2" t="s">
        <v>268</v>
      </c>
      <c r="B101" s="2" t="s">
        <v>269</v>
      </c>
      <c r="C101" s="2" t="s">
        <v>259</v>
      </c>
      <c r="D101" s="2" t="n">
        <v>2026</v>
      </c>
      <c r="E101" s="2" t="s">
        <v>12</v>
      </c>
      <c r="F101" s="2" t="s">
        <v>64</v>
      </c>
      <c r="G101" s="2" t="s">
        <v>52</v>
      </c>
      <c r="H101" s="2" t="s">
        <v>65</v>
      </c>
      <c r="I101" s="2" t="n">
        <v>0</v>
      </c>
    </row>
    <row r="102" customFormat="false" ht="15" hidden="false" customHeight="false" outlineLevel="0" collapsed="false">
      <c r="A102" s="2" t="s">
        <v>270</v>
      </c>
      <c r="B102" s="2" t="s">
        <v>271</v>
      </c>
      <c r="C102" s="2" t="s">
        <v>259</v>
      </c>
      <c r="D102" s="2" t="n">
        <v>2026</v>
      </c>
      <c r="E102" s="2" t="s">
        <v>12</v>
      </c>
      <c r="F102" s="2" t="s">
        <v>64</v>
      </c>
      <c r="G102" s="2" t="s">
        <v>14</v>
      </c>
      <c r="H102" s="2" t="s">
        <v>65</v>
      </c>
      <c r="I102" s="2" t="n">
        <v>0</v>
      </c>
    </row>
    <row r="103" customFormat="false" ht="15" hidden="false" customHeight="false" outlineLevel="0" collapsed="false">
      <c r="A103" s="2" t="s">
        <v>272</v>
      </c>
      <c r="B103" s="2" t="s">
        <v>273</v>
      </c>
      <c r="C103" s="2" t="s">
        <v>259</v>
      </c>
      <c r="D103" s="2" t="n">
        <v>2026</v>
      </c>
      <c r="E103" s="2" t="s">
        <v>12</v>
      </c>
      <c r="F103" s="2" t="s">
        <v>146</v>
      </c>
      <c r="G103" s="2" t="s">
        <v>27</v>
      </c>
      <c r="H103" s="2" t="s">
        <v>147</v>
      </c>
      <c r="I103" s="2" t="n">
        <v>0</v>
      </c>
    </row>
    <row r="104" customFormat="false" ht="15" hidden="false" customHeight="false" outlineLevel="0" collapsed="false">
      <c r="A104" s="2" t="s">
        <v>274</v>
      </c>
      <c r="B104" s="2" t="s">
        <v>275</v>
      </c>
      <c r="C104" s="2" t="s">
        <v>259</v>
      </c>
      <c r="D104" s="2" t="n">
        <v>2026</v>
      </c>
      <c r="E104" s="2" t="s">
        <v>40</v>
      </c>
      <c r="F104" s="2" t="s">
        <v>41</v>
      </c>
      <c r="G104" s="2" t="s">
        <v>73</v>
      </c>
      <c r="H104" s="2" t="s">
        <v>276</v>
      </c>
      <c r="I104" s="2" t="n">
        <v>0</v>
      </c>
    </row>
    <row r="105" customFormat="false" ht="15" hidden="false" customHeight="false" outlineLevel="0" collapsed="false">
      <c r="A105" s="2" t="s">
        <v>277</v>
      </c>
      <c r="B105" s="2" t="s">
        <v>278</v>
      </c>
      <c r="C105" s="2" t="s">
        <v>279</v>
      </c>
      <c r="D105" s="2" t="n">
        <v>2026</v>
      </c>
      <c r="E105" s="2" t="s">
        <v>46</v>
      </c>
      <c r="F105" s="2" t="s">
        <v>13</v>
      </c>
      <c r="G105" s="2" t="s">
        <v>52</v>
      </c>
      <c r="H105" s="2" t="s">
        <v>15</v>
      </c>
      <c r="I105" s="2" t="n">
        <v>0</v>
      </c>
    </row>
    <row r="106" customFormat="false" ht="15" hidden="false" customHeight="false" outlineLevel="0" collapsed="false">
      <c r="A106" s="2" t="s">
        <v>280</v>
      </c>
      <c r="B106" s="2" t="s">
        <v>281</v>
      </c>
      <c r="C106" s="2" t="s">
        <v>282</v>
      </c>
      <c r="D106" s="2" t="n">
        <v>2026</v>
      </c>
      <c r="E106" s="2" t="s">
        <v>12</v>
      </c>
      <c r="F106" s="2" t="s">
        <v>26</v>
      </c>
      <c r="G106" s="2" t="s">
        <v>27</v>
      </c>
      <c r="H106" s="2" t="s">
        <v>28</v>
      </c>
      <c r="I106" s="2" t="n">
        <v>0</v>
      </c>
    </row>
    <row r="107" customFormat="false" ht="15" hidden="false" customHeight="false" outlineLevel="0" collapsed="false">
      <c r="A107" s="2" t="s">
        <v>283</v>
      </c>
      <c r="B107" s="2" t="s">
        <v>284</v>
      </c>
      <c r="C107" s="2" t="s">
        <v>282</v>
      </c>
      <c r="D107" s="2" t="n">
        <v>2026</v>
      </c>
      <c r="E107" s="2" t="s">
        <v>12</v>
      </c>
      <c r="F107" s="2" t="s">
        <v>26</v>
      </c>
      <c r="G107" s="2" t="s">
        <v>52</v>
      </c>
      <c r="H107" s="2" t="s">
        <v>28</v>
      </c>
      <c r="I107" s="2" t="n">
        <v>0</v>
      </c>
    </row>
    <row r="108" customFormat="false" ht="15" hidden="false" customHeight="false" outlineLevel="0" collapsed="false">
      <c r="A108" s="2" t="s">
        <v>285</v>
      </c>
      <c r="B108" s="2" t="s">
        <v>286</v>
      </c>
      <c r="C108" s="2" t="s">
        <v>287</v>
      </c>
      <c r="D108" s="2" t="n">
        <v>2026</v>
      </c>
      <c r="E108" s="2" t="s">
        <v>12</v>
      </c>
      <c r="F108" s="2" t="s">
        <v>13</v>
      </c>
      <c r="G108" s="2" t="s">
        <v>23</v>
      </c>
      <c r="H108" s="2" t="s">
        <v>15</v>
      </c>
      <c r="I108" s="2" t="n">
        <v>0</v>
      </c>
    </row>
    <row r="109" customFormat="false" ht="15" hidden="false" customHeight="false" outlineLevel="0" collapsed="false">
      <c r="A109" s="2" t="s">
        <v>288</v>
      </c>
      <c r="B109" s="2" t="s">
        <v>289</v>
      </c>
      <c r="C109" s="2" t="s">
        <v>287</v>
      </c>
      <c r="D109" s="2" t="n">
        <v>2026</v>
      </c>
      <c r="E109" s="2" t="s">
        <v>12</v>
      </c>
      <c r="F109" s="2" t="s">
        <v>13</v>
      </c>
      <c r="G109" s="2" t="s">
        <v>23</v>
      </c>
      <c r="H109" s="2" t="s">
        <v>15</v>
      </c>
      <c r="I109" s="2" t="n">
        <v>0</v>
      </c>
    </row>
    <row r="110" customFormat="false" ht="15" hidden="false" customHeight="false" outlineLevel="0" collapsed="false">
      <c r="A110" s="2" t="s">
        <v>290</v>
      </c>
      <c r="B110" s="2" t="s">
        <v>291</v>
      </c>
      <c r="C110" s="2" t="s">
        <v>287</v>
      </c>
      <c r="D110" s="2" t="n">
        <v>2026</v>
      </c>
      <c r="E110" s="2" t="s">
        <v>12</v>
      </c>
      <c r="F110" s="2" t="s">
        <v>82</v>
      </c>
      <c r="G110" s="2" t="s">
        <v>34</v>
      </c>
      <c r="H110" s="2" t="s">
        <v>83</v>
      </c>
      <c r="I110" s="2" t="n">
        <v>0</v>
      </c>
    </row>
    <row r="111" customFormat="false" ht="15" hidden="false" customHeight="false" outlineLevel="0" collapsed="false">
      <c r="A111" s="2" t="s">
        <v>292</v>
      </c>
      <c r="B111" s="2" t="s">
        <v>293</v>
      </c>
      <c r="C111" s="2" t="s">
        <v>287</v>
      </c>
      <c r="D111" s="2" t="n">
        <v>2026</v>
      </c>
      <c r="E111" s="2" t="s">
        <v>12</v>
      </c>
      <c r="F111" s="2" t="s">
        <v>26</v>
      </c>
      <c r="G111" s="2" t="s">
        <v>37</v>
      </c>
      <c r="H111" s="2" t="s">
        <v>28</v>
      </c>
      <c r="I111" s="2" t="n">
        <v>0</v>
      </c>
    </row>
    <row r="112" customFormat="false" ht="15" hidden="false" customHeight="false" outlineLevel="0" collapsed="false">
      <c r="A112" s="2" t="s">
        <v>294</v>
      </c>
      <c r="B112" s="2" t="s">
        <v>295</v>
      </c>
      <c r="C112" s="2" t="s">
        <v>287</v>
      </c>
      <c r="D112" s="2" t="n">
        <v>2026</v>
      </c>
      <c r="E112" s="2" t="s">
        <v>12</v>
      </c>
      <c r="F112" s="2" t="s">
        <v>82</v>
      </c>
      <c r="G112" s="2" t="s">
        <v>52</v>
      </c>
      <c r="H112" s="2" t="s">
        <v>83</v>
      </c>
      <c r="I112" s="2" t="n">
        <v>0</v>
      </c>
    </row>
    <row r="113" customFormat="false" ht="15" hidden="false" customHeight="false" outlineLevel="0" collapsed="false">
      <c r="A113" s="2" t="s">
        <v>296</v>
      </c>
      <c r="B113" s="2" t="s">
        <v>297</v>
      </c>
      <c r="C113" s="2" t="s">
        <v>287</v>
      </c>
      <c r="D113" s="2" t="n">
        <v>2026</v>
      </c>
      <c r="E113" s="2" t="s">
        <v>12</v>
      </c>
      <c r="F113" s="2" t="s">
        <v>13</v>
      </c>
      <c r="G113" s="2" t="s">
        <v>37</v>
      </c>
      <c r="H113" s="2" t="s">
        <v>15</v>
      </c>
      <c r="I113" s="2" t="n">
        <v>0</v>
      </c>
    </row>
    <row r="114" customFormat="false" ht="15" hidden="false" customHeight="false" outlineLevel="0" collapsed="false">
      <c r="A114" s="2" t="s">
        <v>298</v>
      </c>
      <c r="B114" s="2" t="s">
        <v>299</v>
      </c>
      <c r="C114" s="2" t="s">
        <v>287</v>
      </c>
      <c r="D114" s="2" t="n">
        <v>2026</v>
      </c>
      <c r="E114" s="2" t="s">
        <v>12</v>
      </c>
      <c r="F114" s="2" t="s">
        <v>13</v>
      </c>
      <c r="G114" s="2" t="s">
        <v>37</v>
      </c>
      <c r="H114" s="2" t="s">
        <v>15</v>
      </c>
      <c r="I114" s="2" t="n">
        <v>1</v>
      </c>
    </row>
    <row r="115" customFormat="false" ht="15" hidden="false" customHeight="false" outlineLevel="0" collapsed="false">
      <c r="A115" s="2" t="s">
        <v>300</v>
      </c>
      <c r="B115" s="2" t="s">
        <v>301</v>
      </c>
      <c r="C115" s="2" t="s">
        <v>287</v>
      </c>
      <c r="D115" s="2" t="n">
        <v>2026</v>
      </c>
      <c r="E115" s="2" t="s">
        <v>12</v>
      </c>
      <c r="F115" s="2" t="s">
        <v>64</v>
      </c>
      <c r="G115" s="2" t="s">
        <v>23</v>
      </c>
      <c r="H115" s="2" t="s">
        <v>65</v>
      </c>
      <c r="I115" s="2" t="n">
        <v>0</v>
      </c>
    </row>
    <row r="116" customFormat="false" ht="15" hidden="false" customHeight="false" outlineLevel="0" collapsed="false">
      <c r="A116" s="2" t="s">
        <v>302</v>
      </c>
      <c r="B116" s="2" t="s">
        <v>303</v>
      </c>
      <c r="C116" s="2" t="s">
        <v>287</v>
      </c>
      <c r="D116" s="2" t="n">
        <v>2026</v>
      </c>
      <c r="E116" s="2" t="s">
        <v>40</v>
      </c>
      <c r="F116" s="2" t="s">
        <v>155</v>
      </c>
      <c r="G116" s="2" t="s">
        <v>49</v>
      </c>
      <c r="H116" s="2" t="s">
        <v>156</v>
      </c>
      <c r="I116" s="2" t="n">
        <v>0</v>
      </c>
    </row>
    <row r="117" customFormat="false" ht="15" hidden="false" customHeight="false" outlineLevel="0" collapsed="false">
      <c r="A117" s="2" t="s">
        <v>304</v>
      </c>
      <c r="B117" s="2" t="s">
        <v>305</v>
      </c>
      <c r="C117" s="2" t="s">
        <v>306</v>
      </c>
      <c r="D117" s="2" t="n">
        <v>2026</v>
      </c>
      <c r="E117" s="2" t="s">
        <v>307</v>
      </c>
      <c r="F117" s="2" t="s">
        <v>155</v>
      </c>
      <c r="G117" s="2" t="s">
        <v>49</v>
      </c>
      <c r="H117" s="2" t="s">
        <v>308</v>
      </c>
      <c r="I117" s="2" t="n">
        <v>0</v>
      </c>
    </row>
    <row r="118" customFormat="false" ht="15" hidden="false" customHeight="false" outlineLevel="0" collapsed="false">
      <c r="A118" s="2" t="s">
        <v>309</v>
      </c>
      <c r="B118" s="2" t="s">
        <v>310</v>
      </c>
      <c r="C118" s="2" t="s">
        <v>306</v>
      </c>
      <c r="D118" s="2" t="n">
        <v>2026</v>
      </c>
      <c r="E118" s="2" t="s">
        <v>46</v>
      </c>
      <c r="F118" s="2" t="s">
        <v>82</v>
      </c>
      <c r="G118" s="2" t="s">
        <v>34</v>
      </c>
      <c r="H118" s="2" t="s">
        <v>83</v>
      </c>
      <c r="I118" s="2" t="n">
        <v>0</v>
      </c>
    </row>
    <row r="119" customFormat="false" ht="15" hidden="false" customHeight="false" outlineLevel="0" collapsed="false">
      <c r="A119" s="2" t="s">
        <v>311</v>
      </c>
      <c r="B119" s="2" t="s">
        <v>312</v>
      </c>
      <c r="C119" s="2" t="s">
        <v>313</v>
      </c>
      <c r="D119" s="2" t="n">
        <v>2026</v>
      </c>
      <c r="E119" s="2" t="s">
        <v>60</v>
      </c>
      <c r="F119" s="2" t="s">
        <v>314</v>
      </c>
      <c r="G119" s="2" t="s">
        <v>52</v>
      </c>
      <c r="H119" s="2" t="s">
        <v>315</v>
      </c>
      <c r="I119" s="2" t="n">
        <v>0</v>
      </c>
    </row>
    <row r="120" customFormat="false" ht="15" hidden="false" customHeight="false" outlineLevel="0" collapsed="false">
      <c r="A120" s="2" t="s">
        <v>316</v>
      </c>
      <c r="B120" s="2" t="s">
        <v>317</v>
      </c>
      <c r="C120" s="2" t="s">
        <v>313</v>
      </c>
      <c r="D120" s="2" t="n">
        <v>2026</v>
      </c>
      <c r="E120" s="2" t="s">
        <v>12</v>
      </c>
      <c r="F120" s="2" t="s">
        <v>13</v>
      </c>
      <c r="G120" s="2" t="s">
        <v>73</v>
      </c>
      <c r="H120" s="2" t="s">
        <v>15</v>
      </c>
      <c r="I120" s="2" t="n">
        <v>0</v>
      </c>
    </row>
    <row r="121" customFormat="false" ht="15" hidden="false" customHeight="false" outlineLevel="0" collapsed="false">
      <c r="A121" s="2" t="s">
        <v>318</v>
      </c>
      <c r="B121" s="2" t="s">
        <v>319</v>
      </c>
      <c r="C121" s="2" t="s">
        <v>313</v>
      </c>
      <c r="D121" s="2" t="n">
        <v>2026</v>
      </c>
      <c r="E121" s="2" t="s">
        <v>12</v>
      </c>
      <c r="F121" s="2" t="s">
        <v>26</v>
      </c>
      <c r="G121" s="2" t="s">
        <v>19</v>
      </c>
      <c r="H121" s="2" t="s">
        <v>28</v>
      </c>
      <c r="I121" s="2" t="n">
        <v>0</v>
      </c>
    </row>
    <row r="122" customFormat="false" ht="15" hidden="false" customHeight="false" outlineLevel="0" collapsed="false">
      <c r="A122" s="2" t="s">
        <v>320</v>
      </c>
      <c r="B122" s="2" t="s">
        <v>321</v>
      </c>
      <c r="C122" s="2" t="s">
        <v>313</v>
      </c>
      <c r="D122" s="2" t="n">
        <v>2026</v>
      </c>
      <c r="E122" s="2" t="s">
        <v>12</v>
      </c>
      <c r="F122" s="2" t="s">
        <v>13</v>
      </c>
      <c r="G122" s="2" t="s">
        <v>14</v>
      </c>
      <c r="H122" s="2" t="s">
        <v>15</v>
      </c>
      <c r="I122" s="2" t="n">
        <v>0</v>
      </c>
    </row>
    <row r="123" customFormat="false" ht="15" hidden="false" customHeight="false" outlineLevel="0" collapsed="false">
      <c r="A123" s="2" t="s">
        <v>322</v>
      </c>
      <c r="B123" s="2" t="s">
        <v>323</v>
      </c>
      <c r="C123" s="2" t="s">
        <v>324</v>
      </c>
      <c r="D123" s="2" t="n">
        <v>2026</v>
      </c>
      <c r="E123" s="2" t="s">
        <v>12</v>
      </c>
      <c r="F123" s="2" t="s">
        <v>325</v>
      </c>
      <c r="G123" s="2" t="s">
        <v>49</v>
      </c>
      <c r="H123" s="2" t="s">
        <v>326</v>
      </c>
      <c r="I123" s="2" t="n">
        <v>0</v>
      </c>
    </row>
    <row r="124" customFormat="false" ht="15" hidden="false" customHeight="false" outlineLevel="0" collapsed="false">
      <c r="A124" s="2" t="s">
        <v>327</v>
      </c>
      <c r="B124" s="2" t="s">
        <v>328</v>
      </c>
      <c r="C124" s="2" t="s">
        <v>324</v>
      </c>
      <c r="D124" s="2" t="n">
        <v>2026</v>
      </c>
      <c r="E124" s="2" t="s">
        <v>12</v>
      </c>
      <c r="F124" s="2" t="s">
        <v>64</v>
      </c>
      <c r="G124" s="2" t="s">
        <v>52</v>
      </c>
      <c r="H124" s="2" t="s">
        <v>65</v>
      </c>
      <c r="I124" s="2" t="n">
        <v>0</v>
      </c>
    </row>
    <row r="125" customFormat="false" ht="15" hidden="false" customHeight="false" outlineLevel="0" collapsed="false">
      <c r="A125" s="2" t="s">
        <v>329</v>
      </c>
      <c r="B125" s="2" t="s">
        <v>330</v>
      </c>
      <c r="C125" s="2" t="s">
        <v>324</v>
      </c>
      <c r="D125" s="2" t="n">
        <v>2026</v>
      </c>
      <c r="E125" s="2" t="s">
        <v>12</v>
      </c>
      <c r="F125" s="2" t="s">
        <v>13</v>
      </c>
      <c r="G125" s="2" t="s">
        <v>14</v>
      </c>
      <c r="H125" s="2" t="s">
        <v>15</v>
      </c>
      <c r="I125" s="2" t="n">
        <v>0</v>
      </c>
    </row>
    <row r="126" customFormat="false" ht="15" hidden="false" customHeight="false" outlineLevel="0" collapsed="false">
      <c r="A126" s="2" t="s">
        <v>331</v>
      </c>
      <c r="B126" s="2" t="s">
        <v>332</v>
      </c>
      <c r="C126" s="2" t="s">
        <v>324</v>
      </c>
      <c r="D126" s="2" t="n">
        <v>2026</v>
      </c>
      <c r="E126" s="2" t="s">
        <v>12</v>
      </c>
      <c r="F126" s="2" t="s">
        <v>13</v>
      </c>
      <c r="G126" s="2" t="s">
        <v>14</v>
      </c>
      <c r="H126" s="2" t="s">
        <v>15</v>
      </c>
      <c r="I126" s="2" t="n">
        <v>0</v>
      </c>
    </row>
    <row r="127" customFormat="false" ht="15" hidden="false" customHeight="false" outlineLevel="0" collapsed="false">
      <c r="A127" s="2" t="s">
        <v>333</v>
      </c>
      <c r="B127" s="2" t="s">
        <v>334</v>
      </c>
      <c r="C127" s="2" t="s">
        <v>324</v>
      </c>
      <c r="D127" s="2" t="n">
        <v>2026</v>
      </c>
      <c r="E127" s="2" t="s">
        <v>12</v>
      </c>
      <c r="F127" s="2" t="s">
        <v>13</v>
      </c>
      <c r="G127" s="2" t="s">
        <v>73</v>
      </c>
      <c r="H127" s="2" t="s">
        <v>15</v>
      </c>
      <c r="I127" s="2" t="n">
        <v>0</v>
      </c>
    </row>
    <row r="128" customFormat="false" ht="15" hidden="false" customHeight="false" outlineLevel="0" collapsed="false">
      <c r="A128" s="2" t="s">
        <v>335</v>
      </c>
      <c r="B128" s="2" t="s">
        <v>336</v>
      </c>
      <c r="C128" s="2" t="s">
        <v>324</v>
      </c>
      <c r="D128" s="2" t="n">
        <v>2026</v>
      </c>
      <c r="E128" s="2" t="s">
        <v>40</v>
      </c>
      <c r="F128" s="2" t="s">
        <v>41</v>
      </c>
      <c r="G128" s="2" t="s">
        <v>52</v>
      </c>
      <c r="H128" s="2" t="s">
        <v>337</v>
      </c>
      <c r="I128" s="2" t="n">
        <v>0</v>
      </c>
    </row>
    <row r="129" customFormat="false" ht="15" hidden="false" customHeight="false" outlineLevel="0" collapsed="false">
      <c r="A129" s="2" t="s">
        <v>338</v>
      </c>
      <c r="B129" s="2" t="s">
        <v>339</v>
      </c>
      <c r="C129" s="2" t="s">
        <v>340</v>
      </c>
      <c r="D129" s="2" t="n">
        <v>2026</v>
      </c>
      <c r="E129" s="2" t="s">
        <v>46</v>
      </c>
      <c r="F129" s="2" t="s">
        <v>13</v>
      </c>
      <c r="G129" s="2" t="s">
        <v>52</v>
      </c>
      <c r="H129" s="2" t="s">
        <v>15</v>
      </c>
      <c r="I129" s="2" t="n">
        <v>0</v>
      </c>
    </row>
    <row r="130" customFormat="false" ht="15" hidden="false" customHeight="false" outlineLevel="0" collapsed="false">
      <c r="A130" s="2" t="s">
        <v>341</v>
      </c>
      <c r="B130" s="2" t="s">
        <v>342</v>
      </c>
      <c r="C130" s="2" t="s">
        <v>343</v>
      </c>
      <c r="D130" s="2" t="n">
        <v>2026</v>
      </c>
      <c r="E130" s="2" t="s">
        <v>12</v>
      </c>
      <c r="F130" s="2" t="s">
        <v>64</v>
      </c>
      <c r="G130" s="2" t="s">
        <v>14</v>
      </c>
      <c r="H130" s="2" t="s">
        <v>65</v>
      </c>
      <c r="I130" s="2" t="n">
        <v>0</v>
      </c>
    </row>
    <row r="131" customFormat="false" ht="15" hidden="false" customHeight="false" outlineLevel="0" collapsed="false">
      <c r="A131" s="2" t="s">
        <v>344</v>
      </c>
      <c r="B131" s="2" t="s">
        <v>345</v>
      </c>
      <c r="C131" s="2" t="s">
        <v>346</v>
      </c>
      <c r="D131" s="2" t="n">
        <v>2026</v>
      </c>
      <c r="E131" s="2" t="s">
        <v>60</v>
      </c>
      <c r="F131" s="2" t="s">
        <v>55</v>
      </c>
      <c r="G131" s="2" t="s">
        <v>73</v>
      </c>
      <c r="H131" s="2" t="s">
        <v>56</v>
      </c>
      <c r="I131" s="2" t="n">
        <v>0</v>
      </c>
    </row>
    <row r="132" customFormat="false" ht="15" hidden="false" customHeight="false" outlineLevel="0" collapsed="false">
      <c r="A132" s="2" t="s">
        <v>347</v>
      </c>
      <c r="B132" s="2" t="s">
        <v>348</v>
      </c>
      <c r="C132" s="2" t="s">
        <v>349</v>
      </c>
      <c r="D132" s="2" t="n">
        <v>2026</v>
      </c>
      <c r="E132" s="2" t="s">
        <v>12</v>
      </c>
      <c r="F132" s="2" t="s">
        <v>26</v>
      </c>
      <c r="G132" s="2" t="s">
        <v>27</v>
      </c>
      <c r="H132" s="2" t="s">
        <v>28</v>
      </c>
      <c r="I132" s="2" t="n">
        <v>0</v>
      </c>
    </row>
    <row r="133" customFormat="false" ht="15" hidden="false" customHeight="false" outlineLevel="0" collapsed="false">
      <c r="A133" s="2" t="s">
        <v>350</v>
      </c>
      <c r="B133" s="2" t="s">
        <v>351</v>
      </c>
      <c r="C133" s="2" t="s">
        <v>352</v>
      </c>
      <c r="D133" s="2" t="n">
        <v>2026</v>
      </c>
      <c r="E133" s="2" t="s">
        <v>46</v>
      </c>
      <c r="F133" s="2" t="s">
        <v>26</v>
      </c>
      <c r="G133" s="2" t="s">
        <v>49</v>
      </c>
      <c r="H133" s="2" t="s">
        <v>28</v>
      </c>
      <c r="I133" s="2" t="n">
        <v>0</v>
      </c>
    </row>
    <row r="134" customFormat="false" ht="15" hidden="false" customHeight="false" outlineLevel="0" collapsed="false">
      <c r="A134" s="2" t="s">
        <v>353</v>
      </c>
      <c r="B134" s="2" t="s">
        <v>354</v>
      </c>
      <c r="C134" s="2" t="s">
        <v>352</v>
      </c>
      <c r="D134" s="2" t="n">
        <v>2026</v>
      </c>
      <c r="E134" s="2" t="s">
        <v>46</v>
      </c>
      <c r="F134" s="2" t="s">
        <v>26</v>
      </c>
      <c r="G134" s="2" t="s">
        <v>37</v>
      </c>
      <c r="H134" s="2" t="s">
        <v>28</v>
      </c>
      <c r="I134" s="2" t="n">
        <v>0</v>
      </c>
    </row>
    <row r="135" customFormat="false" ht="15" hidden="false" customHeight="false" outlineLevel="0" collapsed="false">
      <c r="A135" s="2" t="s">
        <v>355</v>
      </c>
      <c r="B135" s="2" t="s">
        <v>356</v>
      </c>
      <c r="C135" s="2" t="s">
        <v>352</v>
      </c>
      <c r="D135" s="2" t="n">
        <v>2026</v>
      </c>
      <c r="E135" s="2" t="s">
        <v>46</v>
      </c>
      <c r="F135" s="2" t="s">
        <v>26</v>
      </c>
      <c r="G135" s="2" t="s">
        <v>107</v>
      </c>
      <c r="H135" s="2" t="s">
        <v>28</v>
      </c>
      <c r="I135" s="2" t="n">
        <v>0</v>
      </c>
    </row>
    <row r="136" customFormat="false" ht="15" hidden="false" customHeight="false" outlineLevel="0" collapsed="false">
      <c r="A136" s="2" t="s">
        <v>357</v>
      </c>
      <c r="B136" s="2" t="s">
        <v>358</v>
      </c>
      <c r="C136" s="2" t="s">
        <v>352</v>
      </c>
      <c r="D136" s="2" t="n">
        <v>2026</v>
      </c>
      <c r="E136" s="2" t="s">
        <v>46</v>
      </c>
      <c r="F136" s="2" t="s">
        <v>155</v>
      </c>
      <c r="G136" s="2" t="s">
        <v>49</v>
      </c>
      <c r="H136" s="2" t="s">
        <v>156</v>
      </c>
      <c r="I136" s="2" t="n">
        <v>0</v>
      </c>
    </row>
    <row r="137" customFormat="false" ht="15" hidden="false" customHeight="false" outlineLevel="0" collapsed="false">
      <c r="A137" s="2" t="s">
        <v>359</v>
      </c>
      <c r="B137" s="2" t="s">
        <v>360</v>
      </c>
      <c r="C137" s="2" t="s">
        <v>361</v>
      </c>
      <c r="D137" s="2" t="n">
        <v>2026</v>
      </c>
      <c r="E137" s="2" t="s">
        <v>12</v>
      </c>
      <c r="F137" s="2" t="s">
        <v>72</v>
      </c>
      <c r="G137" s="2" t="s">
        <v>37</v>
      </c>
      <c r="H137" s="2" t="s">
        <v>74</v>
      </c>
      <c r="I137" s="2" t="n">
        <v>0</v>
      </c>
    </row>
    <row r="138" customFormat="false" ht="15" hidden="false" customHeight="false" outlineLevel="0" collapsed="false">
      <c r="A138" s="2" t="s">
        <v>362</v>
      </c>
      <c r="B138" s="2" t="s">
        <v>363</v>
      </c>
      <c r="C138" s="2" t="s">
        <v>361</v>
      </c>
      <c r="D138" s="2" t="n">
        <v>2026</v>
      </c>
      <c r="E138" s="2" t="s">
        <v>12</v>
      </c>
      <c r="F138" s="2" t="s">
        <v>146</v>
      </c>
      <c r="G138" s="2" t="s">
        <v>49</v>
      </c>
      <c r="H138" s="2" t="s">
        <v>147</v>
      </c>
      <c r="I138" s="2" t="n">
        <v>0</v>
      </c>
    </row>
    <row r="139" customFormat="false" ht="15" hidden="false" customHeight="false" outlineLevel="0" collapsed="false">
      <c r="A139" s="2" t="s">
        <v>364</v>
      </c>
      <c r="B139" s="2" t="s">
        <v>365</v>
      </c>
      <c r="C139" s="2" t="s">
        <v>361</v>
      </c>
      <c r="D139" s="2" t="n">
        <v>2026</v>
      </c>
      <c r="E139" s="2" t="s">
        <v>12</v>
      </c>
      <c r="F139" s="2" t="s">
        <v>82</v>
      </c>
      <c r="G139" s="2" t="s">
        <v>52</v>
      </c>
      <c r="H139" s="2" t="s">
        <v>83</v>
      </c>
      <c r="I139" s="2" t="n">
        <v>0</v>
      </c>
    </row>
    <row r="140" customFormat="false" ht="15" hidden="false" customHeight="false" outlineLevel="0" collapsed="false">
      <c r="A140" s="2" t="s">
        <v>366</v>
      </c>
      <c r="B140" s="2" t="s">
        <v>367</v>
      </c>
      <c r="C140" s="2" t="s">
        <v>361</v>
      </c>
      <c r="D140" s="2" t="n">
        <v>2026</v>
      </c>
      <c r="E140" s="2" t="s">
        <v>40</v>
      </c>
      <c r="F140" s="2" t="s">
        <v>13</v>
      </c>
      <c r="G140" s="2" t="s">
        <v>73</v>
      </c>
      <c r="H140" s="2" t="s">
        <v>15</v>
      </c>
      <c r="I140" s="2" t="n">
        <v>0</v>
      </c>
    </row>
    <row r="141" customFormat="false" ht="15" hidden="false" customHeight="false" outlineLevel="0" collapsed="false">
      <c r="A141" s="2" t="s">
        <v>368</v>
      </c>
      <c r="B141" s="2" t="s">
        <v>369</v>
      </c>
      <c r="C141" s="2" t="s">
        <v>370</v>
      </c>
      <c r="D141" s="2" t="n">
        <v>2026</v>
      </c>
      <c r="E141" s="2" t="s">
        <v>46</v>
      </c>
      <c r="F141" s="2" t="s">
        <v>155</v>
      </c>
      <c r="G141" s="2" t="s">
        <v>34</v>
      </c>
      <c r="H141" s="2" t="s">
        <v>371</v>
      </c>
      <c r="I141" s="2" t="n">
        <v>0</v>
      </c>
    </row>
    <row r="142" customFormat="false" ht="15" hidden="false" customHeight="false" outlineLevel="0" collapsed="false">
      <c r="A142" s="2" t="s">
        <v>372</v>
      </c>
      <c r="B142" s="2" t="s">
        <v>373</v>
      </c>
      <c r="C142" s="2" t="s">
        <v>370</v>
      </c>
      <c r="D142" s="2" t="n">
        <v>2026</v>
      </c>
      <c r="E142" s="2" t="s">
        <v>46</v>
      </c>
      <c r="F142" s="2" t="s">
        <v>26</v>
      </c>
      <c r="G142" s="2" t="s">
        <v>27</v>
      </c>
      <c r="H142" s="2" t="s">
        <v>28</v>
      </c>
      <c r="I142" s="2" t="n">
        <v>0</v>
      </c>
    </row>
    <row r="143" customFormat="false" ht="15" hidden="false" customHeight="false" outlineLevel="0" collapsed="false">
      <c r="A143" s="2" t="s">
        <v>374</v>
      </c>
      <c r="B143" s="2" t="s">
        <v>375</v>
      </c>
      <c r="C143" s="2" t="s">
        <v>370</v>
      </c>
      <c r="D143" s="2" t="n">
        <v>2026</v>
      </c>
      <c r="E143" s="2" t="s">
        <v>46</v>
      </c>
      <c r="F143" s="2" t="s">
        <v>26</v>
      </c>
      <c r="G143" s="2" t="s">
        <v>107</v>
      </c>
      <c r="H143" s="2" t="s">
        <v>28</v>
      </c>
      <c r="I143" s="2" t="n">
        <v>0</v>
      </c>
    </row>
    <row r="144" customFormat="false" ht="15" hidden="false" customHeight="false" outlineLevel="0" collapsed="false">
      <c r="A144" s="2" t="s">
        <v>376</v>
      </c>
      <c r="B144" s="2" t="s">
        <v>377</v>
      </c>
      <c r="C144" s="2" t="s">
        <v>378</v>
      </c>
      <c r="D144" s="2" t="n">
        <v>2026</v>
      </c>
      <c r="E144" s="2" t="s">
        <v>12</v>
      </c>
      <c r="F144" s="2" t="s">
        <v>13</v>
      </c>
      <c r="G144" s="2" t="s">
        <v>107</v>
      </c>
      <c r="H144" s="2" t="s">
        <v>15</v>
      </c>
      <c r="I144" s="2" t="n">
        <v>0</v>
      </c>
    </row>
    <row r="145" customFormat="false" ht="15" hidden="false" customHeight="false" outlineLevel="0" collapsed="false">
      <c r="A145" s="2" t="s">
        <v>379</v>
      </c>
      <c r="B145" s="2" t="s">
        <v>380</v>
      </c>
      <c r="C145" s="2" t="s">
        <v>378</v>
      </c>
      <c r="D145" s="2" t="n">
        <v>2026</v>
      </c>
      <c r="E145" s="2" t="s">
        <v>12</v>
      </c>
      <c r="F145" s="2" t="s">
        <v>13</v>
      </c>
      <c r="G145" s="2" t="s">
        <v>73</v>
      </c>
      <c r="H145" s="2" t="s">
        <v>15</v>
      </c>
      <c r="I145" s="2" t="n">
        <v>0</v>
      </c>
    </row>
    <row r="146" customFormat="false" ht="15" hidden="false" customHeight="false" outlineLevel="0" collapsed="false">
      <c r="A146" s="2" t="s">
        <v>381</v>
      </c>
      <c r="B146" s="2" t="s">
        <v>382</v>
      </c>
      <c r="C146" s="2" t="s">
        <v>383</v>
      </c>
      <c r="D146" s="2" t="n">
        <v>2026</v>
      </c>
      <c r="E146" s="2" t="s">
        <v>60</v>
      </c>
      <c r="F146" s="2" t="s">
        <v>155</v>
      </c>
      <c r="G146" s="2" t="s">
        <v>52</v>
      </c>
      <c r="H146" s="2" t="s">
        <v>371</v>
      </c>
      <c r="I146" s="2" t="n">
        <v>0</v>
      </c>
    </row>
    <row r="147" customFormat="false" ht="15" hidden="false" customHeight="false" outlineLevel="0" collapsed="false">
      <c r="A147" s="2" t="s">
        <v>384</v>
      </c>
      <c r="B147" s="2" t="s">
        <v>385</v>
      </c>
      <c r="C147" s="2" t="s">
        <v>386</v>
      </c>
      <c r="D147" s="2" t="n">
        <v>2026</v>
      </c>
      <c r="E147" s="2" t="s">
        <v>12</v>
      </c>
      <c r="F147" s="2" t="s">
        <v>26</v>
      </c>
      <c r="G147" s="2" t="s">
        <v>37</v>
      </c>
      <c r="H147" s="2" t="s">
        <v>28</v>
      </c>
      <c r="I147" s="2" t="n">
        <v>0</v>
      </c>
    </row>
    <row r="148" customFormat="false" ht="15" hidden="false" customHeight="false" outlineLevel="0" collapsed="false">
      <c r="A148" s="2" t="s">
        <v>387</v>
      </c>
      <c r="B148" s="2" t="s">
        <v>388</v>
      </c>
      <c r="C148" s="2" t="s">
        <v>386</v>
      </c>
      <c r="D148" s="2" t="n">
        <v>2026</v>
      </c>
      <c r="E148" s="2" t="s">
        <v>12</v>
      </c>
      <c r="F148" s="2" t="s">
        <v>26</v>
      </c>
      <c r="G148" s="2" t="s">
        <v>107</v>
      </c>
      <c r="H148" s="2" t="s">
        <v>28</v>
      </c>
      <c r="I148" s="2" t="n">
        <v>0</v>
      </c>
    </row>
    <row r="149" customFormat="false" ht="15" hidden="false" customHeight="false" outlineLevel="0" collapsed="false">
      <c r="A149" s="2" t="s">
        <v>389</v>
      </c>
      <c r="B149" s="2" t="s">
        <v>390</v>
      </c>
      <c r="C149" s="2" t="s">
        <v>386</v>
      </c>
      <c r="D149" s="2" t="n">
        <v>2026</v>
      </c>
      <c r="E149" s="2" t="s">
        <v>12</v>
      </c>
      <c r="F149" s="2" t="s">
        <v>13</v>
      </c>
      <c r="G149" s="2" t="s">
        <v>107</v>
      </c>
      <c r="H149" s="2" t="s">
        <v>15</v>
      </c>
      <c r="I149" s="2" t="n">
        <v>0</v>
      </c>
    </row>
    <row r="150" customFormat="false" ht="15" hidden="false" customHeight="false" outlineLevel="0" collapsed="false">
      <c r="A150" s="2" t="s">
        <v>391</v>
      </c>
      <c r="B150" s="2" t="s">
        <v>392</v>
      </c>
      <c r="C150" s="2" t="s">
        <v>386</v>
      </c>
      <c r="D150" s="2" t="n">
        <v>2026</v>
      </c>
      <c r="E150" s="2" t="s">
        <v>12</v>
      </c>
      <c r="F150" s="2" t="s">
        <v>82</v>
      </c>
      <c r="G150" s="2" t="s">
        <v>52</v>
      </c>
      <c r="H150" s="2" t="s">
        <v>83</v>
      </c>
      <c r="I150" s="2" t="n">
        <v>0</v>
      </c>
    </row>
    <row r="151" customFormat="false" ht="15" hidden="false" customHeight="false" outlineLevel="0" collapsed="false">
      <c r="A151" s="2" t="s">
        <v>393</v>
      </c>
      <c r="B151" s="2" t="s">
        <v>394</v>
      </c>
      <c r="C151" s="2" t="s">
        <v>386</v>
      </c>
      <c r="D151" s="2" t="n">
        <v>2026</v>
      </c>
      <c r="E151" s="2" t="s">
        <v>12</v>
      </c>
      <c r="F151" s="2" t="s">
        <v>13</v>
      </c>
      <c r="G151" s="2" t="s">
        <v>73</v>
      </c>
      <c r="H151" s="2" t="s">
        <v>15</v>
      </c>
      <c r="I151" s="2" t="n">
        <v>0</v>
      </c>
    </row>
    <row r="152" customFormat="false" ht="15" hidden="false" customHeight="false" outlineLevel="0" collapsed="false">
      <c r="A152" s="2" t="s">
        <v>395</v>
      </c>
      <c r="B152" s="2" t="s">
        <v>396</v>
      </c>
      <c r="C152" s="2" t="s">
        <v>386</v>
      </c>
      <c r="D152" s="2" t="n">
        <v>2026</v>
      </c>
      <c r="E152" s="2" t="s">
        <v>12</v>
      </c>
      <c r="F152" s="2" t="s">
        <v>13</v>
      </c>
      <c r="G152" s="2" t="s">
        <v>73</v>
      </c>
      <c r="H152" s="2" t="s">
        <v>15</v>
      </c>
      <c r="I152" s="2" t="n">
        <v>0</v>
      </c>
    </row>
    <row r="153" customFormat="false" ht="15" hidden="false" customHeight="false" outlineLevel="0" collapsed="false">
      <c r="A153" s="2" t="s">
        <v>397</v>
      </c>
      <c r="B153" s="2" t="s">
        <v>398</v>
      </c>
      <c r="C153" s="2" t="s">
        <v>386</v>
      </c>
      <c r="D153" s="2" t="n">
        <v>2026</v>
      </c>
      <c r="E153" s="2" t="s">
        <v>12</v>
      </c>
      <c r="F153" s="2" t="s">
        <v>26</v>
      </c>
      <c r="G153" s="2" t="s">
        <v>37</v>
      </c>
      <c r="H153" s="2" t="s">
        <v>28</v>
      </c>
      <c r="I153" s="2" t="n">
        <v>0</v>
      </c>
    </row>
    <row r="154" customFormat="false" ht="15" hidden="false" customHeight="false" outlineLevel="0" collapsed="false">
      <c r="A154" s="2" t="s">
        <v>399</v>
      </c>
      <c r="B154" s="2" t="s">
        <v>400</v>
      </c>
      <c r="C154" s="2" t="s">
        <v>386</v>
      </c>
      <c r="D154" s="2" t="n">
        <v>2026</v>
      </c>
      <c r="E154" s="2" t="s">
        <v>40</v>
      </c>
      <c r="F154" s="2" t="s">
        <v>26</v>
      </c>
      <c r="G154" s="2" t="s">
        <v>34</v>
      </c>
      <c r="H154" s="2" t="s">
        <v>28</v>
      </c>
      <c r="I154" s="2" t="n">
        <v>0</v>
      </c>
    </row>
    <row r="155" customFormat="false" ht="15" hidden="false" customHeight="false" outlineLevel="0" collapsed="false">
      <c r="A155" s="2" t="s">
        <v>401</v>
      </c>
      <c r="B155" s="2" t="s">
        <v>402</v>
      </c>
      <c r="C155" s="2" t="s">
        <v>403</v>
      </c>
      <c r="D155" s="2" t="n">
        <v>2026</v>
      </c>
      <c r="E155" s="2" t="s">
        <v>46</v>
      </c>
      <c r="F155" s="2" t="s">
        <v>26</v>
      </c>
      <c r="G155" s="2" t="s">
        <v>52</v>
      </c>
      <c r="H155" s="2" t="s">
        <v>28</v>
      </c>
      <c r="I155" s="2" t="n">
        <v>0</v>
      </c>
    </row>
    <row r="156" customFormat="false" ht="15" hidden="false" customHeight="false" outlineLevel="0" collapsed="false">
      <c r="A156" s="2" t="s">
        <v>404</v>
      </c>
      <c r="B156" s="2" t="s">
        <v>405</v>
      </c>
      <c r="C156" s="2" t="s">
        <v>403</v>
      </c>
      <c r="D156" s="2" t="n">
        <v>2026</v>
      </c>
      <c r="E156" s="2" t="s">
        <v>46</v>
      </c>
      <c r="F156" s="2" t="s">
        <v>26</v>
      </c>
      <c r="G156" s="2" t="s">
        <v>14</v>
      </c>
      <c r="H156" s="2" t="s">
        <v>28</v>
      </c>
      <c r="I156" s="2" t="n">
        <v>0</v>
      </c>
    </row>
    <row r="157" customFormat="false" ht="15" hidden="false" customHeight="false" outlineLevel="0" collapsed="false">
      <c r="A157" s="2" t="s">
        <v>406</v>
      </c>
      <c r="B157" s="2" t="s">
        <v>407</v>
      </c>
      <c r="C157" s="2" t="s">
        <v>408</v>
      </c>
      <c r="D157" s="2" t="n">
        <v>2026</v>
      </c>
      <c r="E157" s="2" t="s">
        <v>12</v>
      </c>
      <c r="F157" s="2" t="s">
        <v>146</v>
      </c>
      <c r="G157" s="2" t="s">
        <v>34</v>
      </c>
      <c r="H157" s="2" t="s">
        <v>147</v>
      </c>
      <c r="I157" s="2" t="n">
        <v>0</v>
      </c>
    </row>
    <row r="158" customFormat="false" ht="15" hidden="false" customHeight="false" outlineLevel="0" collapsed="false">
      <c r="A158" s="2" t="s">
        <v>409</v>
      </c>
      <c r="B158" s="2" t="s">
        <v>410</v>
      </c>
      <c r="C158" s="2" t="s">
        <v>411</v>
      </c>
      <c r="D158" s="2" t="n">
        <v>2026</v>
      </c>
      <c r="E158" s="2" t="s">
        <v>12</v>
      </c>
      <c r="F158" s="2" t="s">
        <v>26</v>
      </c>
      <c r="G158" s="2" t="s">
        <v>52</v>
      </c>
      <c r="H158" s="2" t="s">
        <v>28</v>
      </c>
      <c r="I158" s="2" t="n">
        <v>0</v>
      </c>
    </row>
    <row r="159" customFormat="false" ht="15" hidden="false" customHeight="false" outlineLevel="0" collapsed="false">
      <c r="A159" s="2" t="s">
        <v>412</v>
      </c>
      <c r="B159" s="2" t="s">
        <v>413</v>
      </c>
      <c r="C159" s="2" t="s">
        <v>411</v>
      </c>
      <c r="D159" s="2" t="n">
        <v>2026</v>
      </c>
      <c r="E159" s="2" t="s">
        <v>12</v>
      </c>
      <c r="F159" s="2" t="s">
        <v>26</v>
      </c>
      <c r="G159" s="2" t="s">
        <v>49</v>
      </c>
      <c r="H159" s="2" t="s">
        <v>28</v>
      </c>
      <c r="I159" s="2" t="n">
        <v>0</v>
      </c>
    </row>
    <row r="160" customFormat="false" ht="15" hidden="false" customHeight="false" outlineLevel="0" collapsed="false">
      <c r="A160" s="2" t="s">
        <v>414</v>
      </c>
      <c r="B160" s="2" t="s">
        <v>415</v>
      </c>
      <c r="C160" s="2" t="s">
        <v>411</v>
      </c>
      <c r="D160" s="2" t="n">
        <v>2026</v>
      </c>
      <c r="E160" s="2" t="s">
        <v>12</v>
      </c>
      <c r="F160" s="2" t="s">
        <v>18</v>
      </c>
      <c r="G160" s="2" t="s">
        <v>49</v>
      </c>
      <c r="H160" s="2" t="s">
        <v>20</v>
      </c>
      <c r="I160" s="2" t="n">
        <v>0</v>
      </c>
    </row>
    <row r="161" customFormat="false" ht="15" hidden="false" customHeight="false" outlineLevel="0" collapsed="false">
      <c r="A161" s="2" t="s">
        <v>416</v>
      </c>
      <c r="B161" s="2" t="s">
        <v>417</v>
      </c>
      <c r="C161" s="2" t="s">
        <v>411</v>
      </c>
      <c r="D161" s="2" t="n">
        <v>2026</v>
      </c>
      <c r="E161" s="2" t="s">
        <v>12</v>
      </c>
      <c r="F161" s="2" t="s">
        <v>18</v>
      </c>
      <c r="G161" s="2" t="s">
        <v>49</v>
      </c>
      <c r="H161" s="2" t="s">
        <v>20</v>
      </c>
      <c r="I161" s="2" t="n">
        <v>0</v>
      </c>
    </row>
    <row r="162" customFormat="false" ht="15" hidden="false" customHeight="false" outlineLevel="0" collapsed="false">
      <c r="A162" s="2" t="s">
        <v>418</v>
      </c>
      <c r="B162" s="2" t="s">
        <v>419</v>
      </c>
      <c r="C162" s="2" t="s">
        <v>411</v>
      </c>
      <c r="D162" s="2" t="n">
        <v>2026</v>
      </c>
      <c r="E162" s="2" t="s">
        <v>12</v>
      </c>
      <c r="F162" s="2" t="s">
        <v>13</v>
      </c>
      <c r="G162" s="2" t="s">
        <v>14</v>
      </c>
      <c r="H162" s="2" t="s">
        <v>15</v>
      </c>
      <c r="I162" s="2" t="n">
        <v>0</v>
      </c>
    </row>
    <row r="163" customFormat="false" ht="15" hidden="false" customHeight="false" outlineLevel="0" collapsed="false">
      <c r="A163" s="2" t="s">
        <v>420</v>
      </c>
      <c r="B163" s="2" t="s">
        <v>421</v>
      </c>
      <c r="C163" s="2" t="s">
        <v>422</v>
      </c>
      <c r="D163" s="2" t="n">
        <v>2026</v>
      </c>
      <c r="E163" s="2" t="s">
        <v>46</v>
      </c>
      <c r="F163" s="2" t="s">
        <v>26</v>
      </c>
      <c r="G163" s="2" t="s">
        <v>52</v>
      </c>
      <c r="H163" s="2" t="s">
        <v>28</v>
      </c>
      <c r="I163" s="2" t="n">
        <v>0</v>
      </c>
    </row>
    <row r="164" customFormat="false" ht="15" hidden="false" customHeight="false" outlineLevel="0" collapsed="false">
      <c r="A164" s="2" t="s">
        <v>423</v>
      </c>
      <c r="B164" s="2" t="s">
        <v>30</v>
      </c>
      <c r="C164" s="2" t="s">
        <v>424</v>
      </c>
      <c r="D164" s="2" t="n">
        <v>2026</v>
      </c>
      <c r="E164" s="2" t="s">
        <v>12</v>
      </c>
      <c r="F164" s="2" t="s">
        <v>13</v>
      </c>
      <c r="G164" s="2" t="s">
        <v>14</v>
      </c>
      <c r="H164" s="2" t="s">
        <v>15</v>
      </c>
      <c r="I164" s="2" t="n">
        <v>0</v>
      </c>
    </row>
    <row r="165" customFormat="false" ht="15" hidden="false" customHeight="false" outlineLevel="0" collapsed="false">
      <c r="A165" s="2" t="s">
        <v>425</v>
      </c>
      <c r="B165" s="2" t="s">
        <v>426</v>
      </c>
      <c r="C165" s="2" t="s">
        <v>424</v>
      </c>
      <c r="D165" s="2" t="n">
        <v>2026</v>
      </c>
      <c r="E165" s="2" t="s">
        <v>12</v>
      </c>
      <c r="F165" s="2" t="s">
        <v>146</v>
      </c>
      <c r="G165" s="2" t="s">
        <v>14</v>
      </c>
      <c r="H165" s="2" t="s">
        <v>147</v>
      </c>
      <c r="I165" s="2" t="n">
        <v>0</v>
      </c>
    </row>
    <row r="166" customFormat="false" ht="15" hidden="false" customHeight="false" outlineLevel="0" collapsed="false">
      <c r="A166" s="2" t="s">
        <v>427</v>
      </c>
      <c r="B166" s="2" t="s">
        <v>428</v>
      </c>
      <c r="C166" s="2" t="s">
        <v>424</v>
      </c>
      <c r="D166" s="2" t="n">
        <v>2026</v>
      </c>
      <c r="E166" s="2" t="s">
        <v>12</v>
      </c>
      <c r="F166" s="2" t="s">
        <v>82</v>
      </c>
      <c r="G166" s="2" t="s">
        <v>37</v>
      </c>
      <c r="H166" s="2" t="s">
        <v>83</v>
      </c>
      <c r="I166" s="2" t="n">
        <v>0</v>
      </c>
    </row>
    <row r="167" customFormat="false" ht="15" hidden="false" customHeight="false" outlineLevel="0" collapsed="false">
      <c r="A167" s="2" t="s">
        <v>429</v>
      </c>
      <c r="B167" s="2" t="s">
        <v>430</v>
      </c>
      <c r="C167" s="2" t="s">
        <v>431</v>
      </c>
      <c r="D167" s="2" t="n">
        <v>2026</v>
      </c>
      <c r="E167" s="2" t="s">
        <v>432</v>
      </c>
      <c r="F167" s="2" t="s">
        <v>26</v>
      </c>
      <c r="G167" s="2" t="s">
        <v>73</v>
      </c>
      <c r="H167" s="2" t="s">
        <v>28</v>
      </c>
      <c r="I167" s="2" t="n">
        <v>0</v>
      </c>
    </row>
    <row r="168" customFormat="false" ht="15" hidden="false" customHeight="false" outlineLevel="0" collapsed="false">
      <c r="A168" s="2" t="s">
        <v>433</v>
      </c>
      <c r="B168" s="2" t="s">
        <v>434</v>
      </c>
      <c r="C168" s="2" t="s">
        <v>435</v>
      </c>
      <c r="D168" s="2" t="n">
        <v>2026</v>
      </c>
      <c r="E168" s="2" t="s">
        <v>12</v>
      </c>
      <c r="F168" s="2" t="s">
        <v>26</v>
      </c>
      <c r="G168" s="2" t="s">
        <v>107</v>
      </c>
      <c r="H168" s="2" t="s">
        <v>28</v>
      </c>
      <c r="I168" s="2" t="n">
        <v>0</v>
      </c>
    </row>
    <row r="169" customFormat="false" ht="15" hidden="false" customHeight="false" outlineLevel="0" collapsed="false">
      <c r="A169" s="2" t="s">
        <v>436</v>
      </c>
      <c r="B169" s="2" t="s">
        <v>437</v>
      </c>
      <c r="C169" s="2" t="s">
        <v>438</v>
      </c>
      <c r="D169" s="2" t="n">
        <v>2026</v>
      </c>
      <c r="E169" s="2" t="s">
        <v>46</v>
      </c>
      <c r="F169" s="2" t="s">
        <v>26</v>
      </c>
      <c r="G169" s="2" t="s">
        <v>52</v>
      </c>
      <c r="H169" s="2" t="s">
        <v>28</v>
      </c>
      <c r="I169" s="2" t="n">
        <v>0</v>
      </c>
    </row>
    <row r="170" customFormat="false" ht="15" hidden="false" customHeight="false" outlineLevel="0" collapsed="false">
      <c r="A170" s="2" t="s">
        <v>439</v>
      </c>
      <c r="B170" s="2" t="s">
        <v>440</v>
      </c>
      <c r="C170" s="2" t="s">
        <v>441</v>
      </c>
      <c r="D170" s="2" t="n">
        <v>2026</v>
      </c>
      <c r="E170" s="2" t="s">
        <v>12</v>
      </c>
      <c r="F170" s="2" t="s">
        <v>13</v>
      </c>
      <c r="G170" s="2" t="s">
        <v>37</v>
      </c>
      <c r="H170" s="2" t="s">
        <v>15</v>
      </c>
      <c r="I170" s="2" t="n">
        <v>0</v>
      </c>
    </row>
    <row r="171" customFormat="false" ht="15" hidden="false" customHeight="false" outlineLevel="0" collapsed="false">
      <c r="A171" s="2" t="s">
        <v>442</v>
      </c>
      <c r="B171" s="2" t="s">
        <v>443</v>
      </c>
      <c r="C171" s="2" t="s">
        <v>441</v>
      </c>
      <c r="D171" s="2" t="n">
        <v>2026</v>
      </c>
      <c r="E171" s="2" t="s">
        <v>12</v>
      </c>
      <c r="F171" s="2" t="s">
        <v>55</v>
      </c>
      <c r="G171" s="2" t="s">
        <v>37</v>
      </c>
      <c r="H171" s="2" t="s">
        <v>56</v>
      </c>
      <c r="I171" s="2" t="n">
        <v>0</v>
      </c>
    </row>
    <row r="172" customFormat="false" ht="15" hidden="false" customHeight="false" outlineLevel="0" collapsed="false">
      <c r="A172" s="2" t="s">
        <v>444</v>
      </c>
      <c r="B172" s="2" t="s">
        <v>445</v>
      </c>
      <c r="C172" s="2" t="s">
        <v>441</v>
      </c>
      <c r="D172" s="2" t="n">
        <v>2026</v>
      </c>
      <c r="E172" s="2" t="s">
        <v>12</v>
      </c>
      <c r="F172" s="2" t="s">
        <v>13</v>
      </c>
      <c r="G172" s="2" t="s">
        <v>107</v>
      </c>
      <c r="H172" s="2" t="s">
        <v>15</v>
      </c>
      <c r="I172" s="2" t="n">
        <v>0</v>
      </c>
    </row>
    <row r="173" customFormat="false" ht="15" hidden="false" customHeight="false" outlineLevel="0" collapsed="false">
      <c r="A173" s="2" t="s">
        <v>446</v>
      </c>
      <c r="B173" s="2" t="s">
        <v>447</v>
      </c>
      <c r="C173" s="2" t="s">
        <v>441</v>
      </c>
      <c r="D173" s="2" t="n">
        <v>2026</v>
      </c>
      <c r="E173" s="2" t="s">
        <v>12</v>
      </c>
      <c r="F173" s="2" t="s">
        <v>64</v>
      </c>
      <c r="G173" s="2" t="s">
        <v>37</v>
      </c>
      <c r="H173" s="2" t="s">
        <v>65</v>
      </c>
      <c r="I173" s="2" t="n">
        <v>1</v>
      </c>
    </row>
    <row r="174" customFormat="false" ht="15" hidden="false" customHeight="false" outlineLevel="0" collapsed="false">
      <c r="A174" s="2" t="s">
        <v>448</v>
      </c>
      <c r="B174" s="2" t="s">
        <v>449</v>
      </c>
      <c r="C174" s="2" t="s">
        <v>441</v>
      </c>
      <c r="D174" s="2" t="n">
        <v>2026</v>
      </c>
      <c r="E174" s="2" t="s">
        <v>12</v>
      </c>
      <c r="F174" s="2" t="s">
        <v>26</v>
      </c>
      <c r="G174" s="2" t="s">
        <v>27</v>
      </c>
      <c r="H174" s="2" t="s">
        <v>28</v>
      </c>
      <c r="I174" s="2" t="n">
        <v>0</v>
      </c>
    </row>
    <row r="175" customFormat="false" ht="15" hidden="false" customHeight="false" outlineLevel="0" collapsed="false">
      <c r="A175" s="2" t="s">
        <v>450</v>
      </c>
      <c r="B175" s="2" t="s">
        <v>451</v>
      </c>
      <c r="C175" s="2" t="s">
        <v>452</v>
      </c>
      <c r="D175" s="2" t="n">
        <v>2026</v>
      </c>
      <c r="E175" s="2" t="s">
        <v>46</v>
      </c>
      <c r="F175" s="2" t="s">
        <v>64</v>
      </c>
      <c r="G175" s="2" t="s">
        <v>14</v>
      </c>
      <c r="H175" s="2" t="s">
        <v>65</v>
      </c>
      <c r="I175" s="2" t="n">
        <v>0</v>
      </c>
    </row>
    <row r="176" customFormat="false" ht="15" hidden="false" customHeight="false" outlineLevel="0" collapsed="false">
      <c r="A176" s="2" t="s">
        <v>453</v>
      </c>
      <c r="B176" s="2" t="s">
        <v>454</v>
      </c>
      <c r="C176" s="2" t="s">
        <v>452</v>
      </c>
      <c r="D176" s="2" t="n">
        <v>2026</v>
      </c>
      <c r="E176" s="2" t="s">
        <v>46</v>
      </c>
      <c r="F176" s="2" t="s">
        <v>64</v>
      </c>
      <c r="G176" s="2" t="s">
        <v>27</v>
      </c>
      <c r="H176" s="2" t="s">
        <v>65</v>
      </c>
      <c r="I176" s="2" t="n">
        <v>0</v>
      </c>
    </row>
    <row r="177" customFormat="false" ht="15" hidden="false" customHeight="false" outlineLevel="0" collapsed="false">
      <c r="A177" s="2" t="s">
        <v>455</v>
      </c>
      <c r="B177" s="2" t="s">
        <v>456</v>
      </c>
      <c r="C177" s="2" t="s">
        <v>452</v>
      </c>
      <c r="D177" s="2" t="n">
        <v>2026</v>
      </c>
      <c r="E177" s="2" t="s">
        <v>46</v>
      </c>
      <c r="F177" s="2" t="s">
        <v>64</v>
      </c>
      <c r="G177" s="2" t="s">
        <v>27</v>
      </c>
      <c r="H177" s="2" t="s">
        <v>65</v>
      </c>
      <c r="I177" s="2" t="n">
        <v>0</v>
      </c>
    </row>
    <row r="178" customFormat="false" ht="15" hidden="false" customHeight="false" outlineLevel="0" collapsed="false">
      <c r="A178" s="2" t="s">
        <v>457</v>
      </c>
      <c r="B178" s="2" t="s">
        <v>458</v>
      </c>
      <c r="C178" s="2" t="s">
        <v>459</v>
      </c>
      <c r="D178" s="2" t="n">
        <v>2026</v>
      </c>
      <c r="E178" s="2" t="s">
        <v>12</v>
      </c>
      <c r="F178" s="2" t="s">
        <v>82</v>
      </c>
      <c r="G178" s="2" t="s">
        <v>23</v>
      </c>
      <c r="H178" s="2" t="s">
        <v>83</v>
      </c>
      <c r="I178" s="2" t="n">
        <v>0</v>
      </c>
    </row>
    <row r="179" customFormat="false" ht="15" hidden="false" customHeight="false" outlineLevel="0" collapsed="false">
      <c r="A179" s="2" t="s">
        <v>460</v>
      </c>
      <c r="B179" s="2" t="s">
        <v>461</v>
      </c>
      <c r="C179" s="2" t="s">
        <v>459</v>
      </c>
      <c r="D179" s="2" t="n">
        <v>2026</v>
      </c>
      <c r="E179" s="2" t="s">
        <v>12</v>
      </c>
      <c r="F179" s="2" t="s">
        <v>13</v>
      </c>
      <c r="G179" s="2" t="s">
        <v>107</v>
      </c>
      <c r="H179" s="2" t="s">
        <v>15</v>
      </c>
      <c r="I179" s="2" t="n">
        <v>0</v>
      </c>
    </row>
    <row r="180" customFormat="false" ht="15" hidden="false" customHeight="false" outlineLevel="0" collapsed="false">
      <c r="A180" s="2" t="s">
        <v>462</v>
      </c>
      <c r="B180" s="2" t="s">
        <v>463</v>
      </c>
      <c r="C180" s="2" t="s">
        <v>464</v>
      </c>
      <c r="D180" s="2" t="n">
        <v>2026</v>
      </c>
      <c r="E180" s="2" t="s">
        <v>12</v>
      </c>
      <c r="F180" s="2" t="s">
        <v>13</v>
      </c>
      <c r="G180" s="2" t="s">
        <v>34</v>
      </c>
      <c r="H180" s="2" t="s">
        <v>15</v>
      </c>
      <c r="I180" s="2" t="n">
        <v>0</v>
      </c>
    </row>
    <row r="181" customFormat="false" ht="15" hidden="false" customHeight="false" outlineLevel="0" collapsed="false">
      <c r="A181" s="2" t="s">
        <v>465</v>
      </c>
      <c r="B181" s="2" t="s">
        <v>466</v>
      </c>
      <c r="C181" s="2" t="s">
        <v>464</v>
      </c>
      <c r="D181" s="2" t="n">
        <v>2026</v>
      </c>
      <c r="E181" s="2" t="s">
        <v>12</v>
      </c>
      <c r="F181" s="2" t="s">
        <v>26</v>
      </c>
      <c r="G181" s="2" t="s">
        <v>49</v>
      </c>
      <c r="H181" s="2" t="s">
        <v>28</v>
      </c>
      <c r="I181" s="2" t="n">
        <v>0</v>
      </c>
    </row>
    <row r="182" customFormat="false" ht="15" hidden="false" customHeight="false" outlineLevel="0" collapsed="false">
      <c r="A182" s="2" t="s">
        <v>467</v>
      </c>
      <c r="B182" s="2" t="s">
        <v>468</v>
      </c>
      <c r="C182" s="2" t="s">
        <v>464</v>
      </c>
      <c r="D182" s="2" t="n">
        <v>2026</v>
      </c>
      <c r="E182" s="2" t="s">
        <v>12</v>
      </c>
      <c r="F182" s="2" t="s">
        <v>26</v>
      </c>
      <c r="G182" s="2" t="s">
        <v>27</v>
      </c>
      <c r="H182" s="2" t="s">
        <v>28</v>
      </c>
      <c r="I182" s="2" t="n">
        <v>0</v>
      </c>
    </row>
    <row r="183" customFormat="false" ht="15" hidden="false" customHeight="false" outlineLevel="0" collapsed="false">
      <c r="A183" s="2" t="s">
        <v>469</v>
      </c>
      <c r="B183" s="2" t="s">
        <v>470</v>
      </c>
      <c r="C183" s="2" t="s">
        <v>464</v>
      </c>
      <c r="D183" s="2" t="n">
        <v>2026</v>
      </c>
      <c r="E183" s="2" t="s">
        <v>12</v>
      </c>
      <c r="F183" s="2" t="s">
        <v>13</v>
      </c>
      <c r="G183" s="2" t="s">
        <v>73</v>
      </c>
      <c r="H183" s="2" t="s">
        <v>15</v>
      </c>
      <c r="I183" s="2" t="n">
        <v>0</v>
      </c>
    </row>
    <row r="184" customFormat="false" ht="15" hidden="false" customHeight="false" outlineLevel="0" collapsed="false">
      <c r="A184" s="2" t="s">
        <v>471</v>
      </c>
      <c r="B184" s="2" t="s">
        <v>472</v>
      </c>
      <c r="C184" s="2" t="s">
        <v>464</v>
      </c>
      <c r="D184" s="2" t="n">
        <v>2026</v>
      </c>
      <c r="E184" s="2" t="s">
        <v>12</v>
      </c>
      <c r="F184" s="2" t="s">
        <v>64</v>
      </c>
      <c r="G184" s="2" t="s">
        <v>107</v>
      </c>
      <c r="H184" s="2" t="s">
        <v>65</v>
      </c>
      <c r="I184" s="2" t="n">
        <v>0</v>
      </c>
    </row>
    <row r="185" customFormat="false" ht="15" hidden="false" customHeight="false" outlineLevel="0" collapsed="false">
      <c r="A185" s="2" t="s">
        <v>473</v>
      </c>
      <c r="B185" s="2" t="s">
        <v>474</v>
      </c>
      <c r="C185" s="2" t="s">
        <v>475</v>
      </c>
      <c r="D185" s="2" t="n">
        <v>2026</v>
      </c>
      <c r="E185" s="2" t="s">
        <v>12</v>
      </c>
      <c r="F185" s="2" t="s">
        <v>82</v>
      </c>
      <c r="G185" s="2" t="s">
        <v>49</v>
      </c>
      <c r="H185" s="2" t="s">
        <v>83</v>
      </c>
      <c r="I185" s="2" t="n">
        <v>0</v>
      </c>
    </row>
    <row r="186" customFormat="false" ht="15" hidden="false" customHeight="false" outlineLevel="0" collapsed="false">
      <c r="A186" s="2" t="s">
        <v>476</v>
      </c>
      <c r="B186" s="2" t="s">
        <v>477</v>
      </c>
      <c r="C186" s="2" t="s">
        <v>475</v>
      </c>
      <c r="D186" s="2" t="n">
        <v>2026</v>
      </c>
      <c r="E186" s="2" t="s">
        <v>12</v>
      </c>
      <c r="F186" s="2" t="s">
        <v>64</v>
      </c>
      <c r="G186" s="2" t="s">
        <v>27</v>
      </c>
      <c r="H186" s="2" t="s">
        <v>65</v>
      </c>
      <c r="I186" s="2" t="n">
        <v>0</v>
      </c>
    </row>
    <row r="187" customFormat="false" ht="15" hidden="false" customHeight="false" outlineLevel="0" collapsed="false">
      <c r="A187" s="2" t="s">
        <v>478</v>
      </c>
      <c r="B187" s="2" t="s">
        <v>479</v>
      </c>
      <c r="C187" s="2" t="s">
        <v>480</v>
      </c>
      <c r="D187" s="2" t="n">
        <v>2026</v>
      </c>
      <c r="E187" s="2" t="s">
        <v>12</v>
      </c>
      <c r="F187" s="2" t="s">
        <v>55</v>
      </c>
      <c r="G187" s="2" t="s">
        <v>27</v>
      </c>
      <c r="H187" s="2" t="s">
        <v>56</v>
      </c>
      <c r="I187" s="2" t="n">
        <v>0</v>
      </c>
    </row>
    <row r="188" customFormat="false" ht="15" hidden="false" customHeight="false" outlineLevel="0" collapsed="false">
      <c r="A188" s="2" t="s">
        <v>481</v>
      </c>
      <c r="B188" s="2" t="s">
        <v>482</v>
      </c>
      <c r="C188" s="2" t="s">
        <v>480</v>
      </c>
      <c r="D188" s="2" t="n">
        <v>2026</v>
      </c>
      <c r="E188" s="2" t="s">
        <v>12</v>
      </c>
      <c r="F188" s="2" t="s">
        <v>55</v>
      </c>
      <c r="G188" s="2" t="s">
        <v>52</v>
      </c>
      <c r="H188" s="2" t="s">
        <v>56</v>
      </c>
      <c r="I188" s="2" t="n">
        <v>1</v>
      </c>
    </row>
    <row r="189" customFormat="false" ht="15" hidden="false" customHeight="false" outlineLevel="0" collapsed="false">
      <c r="A189" s="2" t="s">
        <v>483</v>
      </c>
      <c r="B189" s="2" t="s">
        <v>484</v>
      </c>
      <c r="C189" s="2" t="s">
        <v>480</v>
      </c>
      <c r="D189" s="2" t="n">
        <v>2026</v>
      </c>
      <c r="E189" s="2" t="s">
        <v>12</v>
      </c>
      <c r="F189" s="2" t="s">
        <v>13</v>
      </c>
      <c r="G189" s="2" t="s">
        <v>37</v>
      </c>
      <c r="H189" s="2" t="s">
        <v>15</v>
      </c>
      <c r="I189" s="2" t="n">
        <v>1</v>
      </c>
    </row>
    <row r="190" customFormat="false" ht="15" hidden="false" customHeight="false" outlineLevel="0" collapsed="false">
      <c r="A190" s="2" t="s">
        <v>485</v>
      </c>
      <c r="B190" s="2" t="s">
        <v>486</v>
      </c>
      <c r="C190" s="2" t="s">
        <v>480</v>
      </c>
      <c r="D190" s="2" t="n">
        <v>2026</v>
      </c>
      <c r="E190" s="2" t="s">
        <v>12</v>
      </c>
      <c r="F190" s="2" t="s">
        <v>82</v>
      </c>
      <c r="G190" s="2" t="s">
        <v>49</v>
      </c>
      <c r="H190" s="2" t="s">
        <v>83</v>
      </c>
      <c r="I190" s="2" t="n">
        <v>0</v>
      </c>
    </row>
    <row r="191" customFormat="false" ht="15" hidden="false" customHeight="false" outlineLevel="0" collapsed="false">
      <c r="A191" s="2" t="s">
        <v>487</v>
      </c>
      <c r="B191" s="2" t="s">
        <v>488</v>
      </c>
      <c r="C191" s="2" t="s">
        <v>480</v>
      </c>
      <c r="D191" s="2" t="n">
        <v>2026</v>
      </c>
      <c r="E191" s="2" t="s">
        <v>40</v>
      </c>
      <c r="F191" s="2" t="s">
        <v>64</v>
      </c>
      <c r="G191" s="2" t="s">
        <v>27</v>
      </c>
      <c r="H191" s="2" t="s">
        <v>65</v>
      </c>
      <c r="I191" s="2" t="n">
        <v>0</v>
      </c>
    </row>
    <row r="192" customFormat="false" ht="15" hidden="false" customHeight="false" outlineLevel="0" collapsed="false">
      <c r="A192" s="2" t="s">
        <v>489</v>
      </c>
      <c r="B192" s="2" t="s">
        <v>490</v>
      </c>
      <c r="C192" s="2" t="s">
        <v>491</v>
      </c>
      <c r="D192" s="2" t="n">
        <v>2026</v>
      </c>
      <c r="E192" s="2" t="s">
        <v>46</v>
      </c>
      <c r="F192" s="2" t="s">
        <v>82</v>
      </c>
      <c r="G192" s="2" t="s">
        <v>23</v>
      </c>
      <c r="H192" s="2" t="s">
        <v>83</v>
      </c>
      <c r="I192" s="2" t="n">
        <v>0</v>
      </c>
    </row>
    <row r="193" customFormat="false" ht="15" hidden="false" customHeight="false" outlineLevel="0" collapsed="false">
      <c r="A193" s="2" t="s">
        <v>492</v>
      </c>
      <c r="B193" s="2" t="s">
        <v>493</v>
      </c>
      <c r="C193" s="2" t="s">
        <v>494</v>
      </c>
      <c r="D193" s="2" t="n">
        <v>2026</v>
      </c>
      <c r="E193" s="2" t="s">
        <v>12</v>
      </c>
      <c r="F193" s="2" t="s">
        <v>55</v>
      </c>
      <c r="G193" s="2" t="s">
        <v>23</v>
      </c>
      <c r="H193" s="2" t="s">
        <v>56</v>
      </c>
      <c r="I193" s="2" t="n">
        <v>0</v>
      </c>
    </row>
    <row r="194" customFormat="false" ht="15" hidden="false" customHeight="false" outlineLevel="0" collapsed="false">
      <c r="A194" s="2" t="s">
        <v>495</v>
      </c>
      <c r="B194" s="2" t="s">
        <v>496</v>
      </c>
      <c r="C194" s="2" t="s">
        <v>494</v>
      </c>
      <c r="D194" s="2" t="n">
        <v>2026</v>
      </c>
      <c r="E194" s="2" t="s">
        <v>12</v>
      </c>
      <c r="F194" s="2" t="s">
        <v>64</v>
      </c>
      <c r="G194" s="2" t="s">
        <v>14</v>
      </c>
      <c r="H194" s="2" t="s">
        <v>65</v>
      </c>
      <c r="I194" s="2" t="n">
        <v>0</v>
      </c>
    </row>
    <row r="195" customFormat="false" ht="15" hidden="false" customHeight="false" outlineLevel="0" collapsed="false">
      <c r="A195" s="2" t="s">
        <v>497</v>
      </c>
      <c r="B195" s="2" t="s">
        <v>498</v>
      </c>
      <c r="C195" s="2" t="s">
        <v>494</v>
      </c>
      <c r="D195" s="2" t="n">
        <v>2026</v>
      </c>
      <c r="E195" s="2" t="s">
        <v>12</v>
      </c>
      <c r="F195" s="2" t="s">
        <v>72</v>
      </c>
      <c r="G195" s="2" t="s">
        <v>34</v>
      </c>
      <c r="H195" s="2" t="s">
        <v>74</v>
      </c>
      <c r="I195" s="2" t="n">
        <v>0</v>
      </c>
    </row>
    <row r="196" customFormat="false" ht="15" hidden="false" customHeight="false" outlineLevel="0" collapsed="false">
      <c r="A196" s="2" t="s">
        <v>499</v>
      </c>
      <c r="B196" s="2" t="s">
        <v>500</v>
      </c>
      <c r="C196" s="2" t="s">
        <v>501</v>
      </c>
      <c r="D196" s="2" t="n">
        <v>2026</v>
      </c>
      <c r="E196" s="2" t="s">
        <v>60</v>
      </c>
      <c r="F196" s="2" t="s">
        <v>26</v>
      </c>
      <c r="G196" s="2" t="s">
        <v>49</v>
      </c>
      <c r="H196" s="2" t="s">
        <v>28</v>
      </c>
      <c r="I196" s="2" t="n">
        <v>0</v>
      </c>
    </row>
    <row r="197" customFormat="false" ht="15" hidden="false" customHeight="false" outlineLevel="0" collapsed="false">
      <c r="A197" s="2" t="s">
        <v>502</v>
      </c>
      <c r="B197" s="2" t="s">
        <v>503</v>
      </c>
      <c r="C197" s="2" t="s">
        <v>501</v>
      </c>
      <c r="D197" s="2" t="n">
        <v>2026</v>
      </c>
      <c r="E197" s="2" t="s">
        <v>432</v>
      </c>
      <c r="F197" s="2" t="s">
        <v>155</v>
      </c>
      <c r="G197" s="2" t="s">
        <v>52</v>
      </c>
      <c r="H197" s="2" t="s">
        <v>156</v>
      </c>
      <c r="I197" s="2" t="n">
        <v>0</v>
      </c>
    </row>
    <row r="198" customFormat="false" ht="15" hidden="false" customHeight="false" outlineLevel="0" collapsed="false">
      <c r="A198" s="2" t="s">
        <v>504</v>
      </c>
      <c r="B198" s="2" t="s">
        <v>505</v>
      </c>
      <c r="C198" s="2" t="s">
        <v>506</v>
      </c>
      <c r="D198" s="2" t="n">
        <v>2026</v>
      </c>
      <c r="E198" s="2" t="s">
        <v>12</v>
      </c>
      <c r="F198" s="2" t="s">
        <v>64</v>
      </c>
      <c r="G198" s="2" t="s">
        <v>34</v>
      </c>
      <c r="H198" s="2" t="s">
        <v>65</v>
      </c>
      <c r="I198" s="2" t="n">
        <v>0</v>
      </c>
    </row>
    <row r="199" customFormat="false" ht="15" hidden="false" customHeight="false" outlineLevel="0" collapsed="false">
      <c r="A199" s="2" t="s">
        <v>507</v>
      </c>
      <c r="B199" s="2" t="s">
        <v>508</v>
      </c>
      <c r="C199" s="2" t="s">
        <v>506</v>
      </c>
      <c r="D199" s="2" t="n">
        <v>2026</v>
      </c>
      <c r="E199" s="2" t="s">
        <v>12</v>
      </c>
      <c r="F199" s="2" t="s">
        <v>13</v>
      </c>
      <c r="G199" s="2" t="s">
        <v>107</v>
      </c>
      <c r="H199" s="2" t="s">
        <v>15</v>
      </c>
      <c r="I199" s="2" t="n">
        <v>0</v>
      </c>
    </row>
    <row r="200" customFormat="false" ht="15" hidden="false" customHeight="false" outlineLevel="0" collapsed="false">
      <c r="A200" s="2" t="s">
        <v>509</v>
      </c>
      <c r="B200" s="2" t="s">
        <v>510</v>
      </c>
      <c r="C200" s="2" t="s">
        <v>506</v>
      </c>
      <c r="D200" s="2" t="n">
        <v>2026</v>
      </c>
      <c r="E200" s="2" t="s">
        <v>12</v>
      </c>
      <c r="F200" s="2" t="s">
        <v>64</v>
      </c>
      <c r="G200" s="2" t="s">
        <v>14</v>
      </c>
      <c r="H200" s="2" t="s">
        <v>65</v>
      </c>
      <c r="I200" s="2" t="n">
        <v>0</v>
      </c>
    </row>
    <row r="201" customFormat="false" ht="15" hidden="false" customHeight="false" outlineLevel="0" collapsed="false">
      <c r="A201" s="2" t="s">
        <v>511</v>
      </c>
      <c r="B201" s="2" t="s">
        <v>512</v>
      </c>
      <c r="C201" s="2" t="s">
        <v>506</v>
      </c>
      <c r="D201" s="2" t="n">
        <v>2026</v>
      </c>
      <c r="E201" s="2" t="s">
        <v>12</v>
      </c>
      <c r="F201" s="2" t="s">
        <v>64</v>
      </c>
      <c r="G201" s="2" t="s">
        <v>14</v>
      </c>
      <c r="H201" s="2" t="s">
        <v>65</v>
      </c>
      <c r="I201" s="2" t="n">
        <v>0</v>
      </c>
    </row>
    <row r="202" customFormat="false" ht="15" hidden="false" customHeight="false" outlineLevel="0" collapsed="false">
      <c r="A202" s="2" t="s">
        <v>513</v>
      </c>
      <c r="B202" s="2" t="s">
        <v>514</v>
      </c>
      <c r="C202" s="2" t="s">
        <v>506</v>
      </c>
      <c r="D202" s="2" t="n">
        <v>2026</v>
      </c>
      <c r="E202" s="2" t="s">
        <v>12</v>
      </c>
      <c r="F202" s="2" t="s">
        <v>64</v>
      </c>
      <c r="G202" s="2" t="s">
        <v>73</v>
      </c>
      <c r="H202" s="2" t="s">
        <v>65</v>
      </c>
      <c r="I202" s="2" t="n">
        <v>0</v>
      </c>
    </row>
    <row r="203" customFormat="false" ht="15" hidden="false" customHeight="false" outlineLevel="0" collapsed="false">
      <c r="A203" s="2" t="s">
        <v>515</v>
      </c>
      <c r="B203" s="2" t="s">
        <v>516</v>
      </c>
      <c r="C203" s="2" t="s">
        <v>517</v>
      </c>
      <c r="D203" s="2" t="n">
        <v>2026</v>
      </c>
      <c r="E203" s="2" t="s">
        <v>46</v>
      </c>
      <c r="F203" s="2" t="s">
        <v>155</v>
      </c>
      <c r="G203" s="2" t="s">
        <v>14</v>
      </c>
      <c r="H203" s="2" t="s">
        <v>156</v>
      </c>
      <c r="I203" s="2" t="n">
        <v>0</v>
      </c>
    </row>
    <row r="204" customFormat="false" ht="15" hidden="false" customHeight="false" outlineLevel="0" collapsed="false">
      <c r="A204" s="2" t="s">
        <v>518</v>
      </c>
      <c r="B204" s="2" t="s">
        <v>519</v>
      </c>
      <c r="C204" s="2" t="s">
        <v>520</v>
      </c>
      <c r="D204" s="2" t="n">
        <v>2026</v>
      </c>
      <c r="E204" s="2" t="s">
        <v>12</v>
      </c>
      <c r="F204" s="2" t="s">
        <v>64</v>
      </c>
      <c r="G204" s="2" t="s">
        <v>27</v>
      </c>
      <c r="H204" s="2" t="s">
        <v>65</v>
      </c>
      <c r="I204" s="2" t="n">
        <v>0</v>
      </c>
    </row>
    <row r="205" customFormat="false" ht="15" hidden="false" customHeight="false" outlineLevel="0" collapsed="false">
      <c r="A205" s="2" t="s">
        <v>521</v>
      </c>
      <c r="B205" s="2" t="s">
        <v>522</v>
      </c>
      <c r="C205" s="2" t="s">
        <v>520</v>
      </c>
      <c r="D205" s="2" t="n">
        <v>2026</v>
      </c>
      <c r="E205" s="2" t="s">
        <v>12</v>
      </c>
      <c r="F205" s="2" t="s">
        <v>18</v>
      </c>
      <c r="G205" s="2" t="s">
        <v>49</v>
      </c>
      <c r="H205" s="2" t="s">
        <v>20</v>
      </c>
      <c r="I205" s="2" t="n">
        <v>0</v>
      </c>
    </row>
    <row r="206" customFormat="false" ht="15" hidden="false" customHeight="false" outlineLevel="0" collapsed="false">
      <c r="A206" s="2" t="s">
        <v>523</v>
      </c>
      <c r="B206" s="2" t="s">
        <v>524</v>
      </c>
      <c r="C206" s="2" t="s">
        <v>520</v>
      </c>
      <c r="D206" s="2" t="n">
        <v>2026</v>
      </c>
      <c r="E206" s="2" t="s">
        <v>12</v>
      </c>
      <c r="F206" s="2" t="s">
        <v>82</v>
      </c>
      <c r="G206" s="2" t="s">
        <v>37</v>
      </c>
      <c r="H206" s="2" t="s">
        <v>83</v>
      </c>
      <c r="I206" s="2" t="n">
        <v>0</v>
      </c>
    </row>
    <row r="207" customFormat="false" ht="15" hidden="false" customHeight="false" outlineLevel="0" collapsed="false">
      <c r="A207" s="2" t="s">
        <v>525</v>
      </c>
      <c r="B207" s="2" t="s">
        <v>526</v>
      </c>
      <c r="C207" s="2" t="s">
        <v>527</v>
      </c>
      <c r="D207" s="2" t="n">
        <v>2026</v>
      </c>
      <c r="E207" s="2" t="s">
        <v>12</v>
      </c>
      <c r="F207" s="2" t="s">
        <v>82</v>
      </c>
      <c r="G207" s="2" t="s">
        <v>37</v>
      </c>
      <c r="H207" s="2" t="s">
        <v>83</v>
      </c>
      <c r="I207" s="2" t="n">
        <v>1</v>
      </c>
    </row>
    <row r="208" customFormat="false" ht="15" hidden="false" customHeight="false" outlineLevel="0" collapsed="false">
      <c r="A208" s="2" t="s">
        <v>528</v>
      </c>
      <c r="B208" s="2" t="s">
        <v>529</v>
      </c>
      <c r="C208" s="2" t="s">
        <v>527</v>
      </c>
      <c r="D208" s="2" t="n">
        <v>2026</v>
      </c>
      <c r="E208" s="2" t="s">
        <v>12</v>
      </c>
      <c r="F208" s="2" t="s">
        <v>64</v>
      </c>
      <c r="G208" s="2" t="s">
        <v>37</v>
      </c>
      <c r="H208" s="2" t="s">
        <v>65</v>
      </c>
      <c r="I208" s="2" t="n">
        <v>0</v>
      </c>
    </row>
    <row r="209" customFormat="false" ht="15" hidden="false" customHeight="false" outlineLevel="0" collapsed="false">
      <c r="A209" s="2" t="s">
        <v>530</v>
      </c>
      <c r="B209" s="2" t="s">
        <v>531</v>
      </c>
      <c r="C209" s="2" t="s">
        <v>527</v>
      </c>
      <c r="D209" s="2" t="n">
        <v>2026</v>
      </c>
      <c r="E209" s="2" t="s">
        <v>12</v>
      </c>
      <c r="F209" s="2" t="s">
        <v>325</v>
      </c>
      <c r="G209" s="2" t="s">
        <v>49</v>
      </c>
      <c r="H209" s="2" t="s">
        <v>326</v>
      </c>
      <c r="I209" s="2" t="n">
        <v>0</v>
      </c>
    </row>
    <row r="210" customFormat="false" ht="15" hidden="false" customHeight="false" outlineLevel="0" collapsed="false">
      <c r="A210" s="2" t="s">
        <v>532</v>
      </c>
      <c r="B210" s="2" t="s">
        <v>533</v>
      </c>
      <c r="C210" s="2" t="s">
        <v>527</v>
      </c>
      <c r="D210" s="2" t="n">
        <v>2026</v>
      </c>
      <c r="E210" s="2" t="s">
        <v>12</v>
      </c>
      <c r="F210" s="2" t="s">
        <v>146</v>
      </c>
      <c r="G210" s="2" t="s">
        <v>49</v>
      </c>
      <c r="H210" s="2" t="s">
        <v>147</v>
      </c>
      <c r="I210" s="2" t="n">
        <v>0</v>
      </c>
    </row>
    <row r="211" customFormat="false" ht="15" hidden="false" customHeight="false" outlineLevel="0" collapsed="false">
      <c r="A211" s="2" t="s">
        <v>534</v>
      </c>
      <c r="B211" s="2" t="s">
        <v>535</v>
      </c>
      <c r="C211" s="2" t="s">
        <v>527</v>
      </c>
      <c r="D211" s="2" t="n">
        <v>2026</v>
      </c>
      <c r="E211" s="2" t="s">
        <v>12</v>
      </c>
      <c r="F211" s="2" t="s">
        <v>13</v>
      </c>
      <c r="G211" s="2" t="s">
        <v>73</v>
      </c>
      <c r="H211" s="2" t="s">
        <v>15</v>
      </c>
      <c r="I211" s="2" t="n">
        <v>0</v>
      </c>
    </row>
    <row r="212" customFormat="false" ht="15" hidden="false" customHeight="false" outlineLevel="0" collapsed="false">
      <c r="A212" s="2" t="s">
        <v>536</v>
      </c>
      <c r="B212" s="2" t="s">
        <v>537</v>
      </c>
      <c r="C212" s="2" t="s">
        <v>527</v>
      </c>
      <c r="D212" s="2" t="n">
        <v>2026</v>
      </c>
      <c r="E212" s="2" t="s">
        <v>12</v>
      </c>
      <c r="F212" s="2" t="s">
        <v>64</v>
      </c>
      <c r="G212" s="2" t="s">
        <v>23</v>
      </c>
      <c r="H212" s="2" t="s">
        <v>65</v>
      </c>
      <c r="I212" s="2" t="n">
        <v>0</v>
      </c>
    </row>
    <row r="213" customFormat="false" ht="15" hidden="false" customHeight="false" outlineLevel="0" collapsed="false">
      <c r="A213" s="2" t="s">
        <v>538</v>
      </c>
      <c r="B213" s="2" t="s">
        <v>539</v>
      </c>
      <c r="C213" s="2" t="s">
        <v>527</v>
      </c>
      <c r="D213" s="2" t="n">
        <v>2026</v>
      </c>
      <c r="E213" s="2" t="s">
        <v>12</v>
      </c>
      <c r="F213" s="2" t="s">
        <v>55</v>
      </c>
      <c r="G213" s="2" t="s">
        <v>14</v>
      </c>
      <c r="H213" s="2" t="s">
        <v>56</v>
      </c>
      <c r="I213" s="2" t="n">
        <v>0</v>
      </c>
    </row>
    <row r="214" customFormat="false" ht="15" hidden="false" customHeight="false" outlineLevel="0" collapsed="false">
      <c r="A214" s="2" t="s">
        <v>540</v>
      </c>
      <c r="B214" s="2" t="s">
        <v>541</v>
      </c>
      <c r="C214" s="2" t="s">
        <v>542</v>
      </c>
      <c r="D214" s="2" t="n">
        <v>2026</v>
      </c>
      <c r="E214" s="2" t="s">
        <v>12</v>
      </c>
      <c r="F214" s="2" t="s">
        <v>82</v>
      </c>
      <c r="G214" s="2" t="s">
        <v>107</v>
      </c>
      <c r="H214" s="2" t="s">
        <v>83</v>
      </c>
      <c r="I214" s="2" t="n">
        <v>0</v>
      </c>
    </row>
    <row r="215" customFormat="false" ht="15" hidden="false" customHeight="false" outlineLevel="0" collapsed="false">
      <c r="A215" s="2" t="s">
        <v>543</v>
      </c>
      <c r="B215" s="2" t="s">
        <v>544</v>
      </c>
      <c r="C215" s="2" t="s">
        <v>545</v>
      </c>
      <c r="D215" s="2" t="n">
        <v>2026</v>
      </c>
      <c r="E215" s="2" t="s">
        <v>12</v>
      </c>
      <c r="F215" s="2" t="s">
        <v>64</v>
      </c>
      <c r="G215" s="2" t="s">
        <v>52</v>
      </c>
      <c r="H215" s="2" t="s">
        <v>65</v>
      </c>
      <c r="I215" s="2" t="n">
        <v>1</v>
      </c>
    </row>
    <row r="216" customFormat="false" ht="15" hidden="false" customHeight="false" outlineLevel="0" collapsed="false">
      <c r="A216" s="2" t="s">
        <v>546</v>
      </c>
      <c r="B216" s="2" t="s">
        <v>547</v>
      </c>
      <c r="C216" s="2" t="s">
        <v>545</v>
      </c>
      <c r="D216" s="2" t="n">
        <v>2026</v>
      </c>
      <c r="E216" s="2" t="s">
        <v>12</v>
      </c>
      <c r="F216" s="2" t="s">
        <v>13</v>
      </c>
      <c r="G216" s="2" t="s">
        <v>23</v>
      </c>
      <c r="H216" s="2" t="s">
        <v>548</v>
      </c>
      <c r="I216" s="2" t="n">
        <v>0</v>
      </c>
    </row>
    <row r="217" customFormat="false" ht="15" hidden="false" customHeight="false" outlineLevel="0" collapsed="false">
      <c r="A217" s="2" t="s">
        <v>549</v>
      </c>
      <c r="B217" s="2" t="s">
        <v>550</v>
      </c>
      <c r="C217" s="2" t="s">
        <v>545</v>
      </c>
      <c r="D217" s="2" t="n">
        <v>2026</v>
      </c>
      <c r="E217" s="2" t="s">
        <v>12</v>
      </c>
      <c r="F217" s="2" t="s">
        <v>64</v>
      </c>
      <c r="G217" s="2" t="s">
        <v>23</v>
      </c>
      <c r="H217" s="2" t="s">
        <v>65</v>
      </c>
      <c r="I217" s="2" t="n">
        <v>0</v>
      </c>
    </row>
    <row r="218" customFormat="false" ht="15" hidden="false" customHeight="false" outlineLevel="0" collapsed="false">
      <c r="A218" s="2" t="s">
        <v>551</v>
      </c>
      <c r="B218" s="2" t="s">
        <v>552</v>
      </c>
      <c r="C218" s="2" t="s">
        <v>553</v>
      </c>
      <c r="D218" s="2" t="n">
        <v>2026</v>
      </c>
      <c r="E218" s="2" t="s">
        <v>46</v>
      </c>
      <c r="F218" s="2" t="s">
        <v>55</v>
      </c>
      <c r="G218" s="2" t="s">
        <v>52</v>
      </c>
      <c r="H218" s="2" t="s">
        <v>56</v>
      </c>
      <c r="I218" s="2" t="n">
        <v>0</v>
      </c>
    </row>
    <row r="219" customFormat="false" ht="15" hidden="false" customHeight="false" outlineLevel="0" collapsed="false">
      <c r="A219" s="2" t="s">
        <v>554</v>
      </c>
      <c r="B219" s="2" t="s">
        <v>555</v>
      </c>
      <c r="C219" s="2" t="s">
        <v>556</v>
      </c>
      <c r="D219" s="2" t="n">
        <v>2026</v>
      </c>
      <c r="E219" s="2" t="s">
        <v>12</v>
      </c>
      <c r="F219" s="2" t="s">
        <v>13</v>
      </c>
      <c r="G219" s="2" t="s">
        <v>37</v>
      </c>
      <c r="H219" s="2" t="s">
        <v>15</v>
      </c>
      <c r="I219" s="2" t="n">
        <v>0</v>
      </c>
    </row>
    <row r="220" customFormat="false" ht="15" hidden="false" customHeight="false" outlineLevel="0" collapsed="false">
      <c r="A220" s="2" t="s">
        <v>557</v>
      </c>
      <c r="B220" s="2" t="s">
        <v>558</v>
      </c>
      <c r="C220" s="2" t="s">
        <v>559</v>
      </c>
      <c r="D220" s="2" t="n">
        <v>2026</v>
      </c>
      <c r="E220" s="2" t="s">
        <v>12</v>
      </c>
      <c r="F220" s="2" t="s">
        <v>13</v>
      </c>
      <c r="G220" s="2" t="s">
        <v>37</v>
      </c>
      <c r="H220" s="2" t="s">
        <v>15</v>
      </c>
      <c r="I220" s="2" t="n">
        <v>0</v>
      </c>
    </row>
    <row r="221" customFormat="false" ht="15" hidden="false" customHeight="false" outlineLevel="0" collapsed="false">
      <c r="A221" s="2" t="s">
        <v>560</v>
      </c>
      <c r="B221" s="2" t="s">
        <v>561</v>
      </c>
      <c r="C221" s="2" t="s">
        <v>559</v>
      </c>
      <c r="D221" s="2" t="n">
        <v>2026</v>
      </c>
      <c r="E221" s="2" t="s">
        <v>12</v>
      </c>
      <c r="F221" s="2" t="s">
        <v>325</v>
      </c>
      <c r="G221" s="2" t="s">
        <v>49</v>
      </c>
      <c r="H221" s="2" t="s">
        <v>326</v>
      </c>
      <c r="I221" s="2" t="n">
        <v>0</v>
      </c>
    </row>
    <row r="222" customFormat="false" ht="15" hidden="false" customHeight="false" outlineLevel="0" collapsed="false">
      <c r="A222" s="2" t="s">
        <v>562</v>
      </c>
      <c r="B222" s="2" t="s">
        <v>563</v>
      </c>
      <c r="C222" s="2" t="s">
        <v>559</v>
      </c>
      <c r="D222" s="2" t="n">
        <v>2026</v>
      </c>
      <c r="E222" s="2" t="s">
        <v>12</v>
      </c>
      <c r="F222" s="2" t="s">
        <v>26</v>
      </c>
      <c r="G222" s="2" t="s">
        <v>23</v>
      </c>
      <c r="H222" s="2" t="s">
        <v>28</v>
      </c>
      <c r="I222" s="2" t="n">
        <v>1</v>
      </c>
    </row>
    <row r="223" customFormat="false" ht="15" hidden="false" customHeight="false" outlineLevel="0" collapsed="false">
      <c r="A223" s="2" t="s">
        <v>564</v>
      </c>
      <c r="B223" s="2" t="s">
        <v>565</v>
      </c>
      <c r="C223" s="2" t="s">
        <v>559</v>
      </c>
      <c r="D223" s="2" t="n">
        <v>2026</v>
      </c>
      <c r="E223" s="2" t="s">
        <v>12</v>
      </c>
      <c r="F223" s="2" t="s">
        <v>64</v>
      </c>
      <c r="G223" s="2" t="s">
        <v>37</v>
      </c>
      <c r="H223" s="2" t="s">
        <v>65</v>
      </c>
      <c r="I223" s="2" t="n">
        <v>0</v>
      </c>
    </row>
    <row r="224" customFormat="false" ht="15" hidden="false" customHeight="false" outlineLevel="0" collapsed="false">
      <c r="A224" s="2" t="s">
        <v>566</v>
      </c>
      <c r="B224" s="2" t="s">
        <v>567</v>
      </c>
      <c r="C224" s="2" t="s">
        <v>568</v>
      </c>
      <c r="D224" s="2" t="n">
        <v>2026</v>
      </c>
      <c r="E224" s="2" t="s">
        <v>12</v>
      </c>
      <c r="F224" s="2" t="s">
        <v>55</v>
      </c>
      <c r="G224" s="2" t="s">
        <v>52</v>
      </c>
      <c r="H224" s="2" t="s">
        <v>56</v>
      </c>
      <c r="I224" s="2" t="n">
        <v>0</v>
      </c>
    </row>
    <row r="225" customFormat="false" ht="15" hidden="false" customHeight="false" outlineLevel="0" collapsed="false">
      <c r="A225" s="2" t="s">
        <v>569</v>
      </c>
      <c r="B225" s="2" t="s">
        <v>570</v>
      </c>
      <c r="C225" s="2" t="s">
        <v>568</v>
      </c>
      <c r="D225" s="2" t="n">
        <v>2026</v>
      </c>
      <c r="E225" s="2" t="s">
        <v>12</v>
      </c>
      <c r="F225" s="2" t="s">
        <v>55</v>
      </c>
      <c r="G225" s="2" t="s">
        <v>52</v>
      </c>
      <c r="H225" s="2" t="s">
        <v>56</v>
      </c>
      <c r="I225" s="2" t="n">
        <v>0</v>
      </c>
    </row>
    <row r="226" customFormat="false" ht="15" hidden="false" customHeight="false" outlineLevel="0" collapsed="false">
      <c r="A226" s="2" t="s">
        <v>571</v>
      </c>
      <c r="B226" s="2" t="s">
        <v>572</v>
      </c>
      <c r="C226" s="2" t="s">
        <v>568</v>
      </c>
      <c r="D226" s="2" t="n">
        <v>2026</v>
      </c>
      <c r="E226" s="2" t="s">
        <v>12</v>
      </c>
      <c r="F226" s="2" t="s">
        <v>26</v>
      </c>
      <c r="G226" s="2" t="s">
        <v>27</v>
      </c>
      <c r="H226" s="2" t="s">
        <v>28</v>
      </c>
      <c r="I226" s="2" t="n">
        <v>0</v>
      </c>
    </row>
    <row r="227" customFormat="false" ht="15" hidden="false" customHeight="false" outlineLevel="0" collapsed="false">
      <c r="A227" s="2" t="s">
        <v>573</v>
      </c>
      <c r="B227" s="2" t="s">
        <v>574</v>
      </c>
      <c r="C227" s="2" t="s">
        <v>575</v>
      </c>
      <c r="D227" s="2" t="n">
        <v>2026</v>
      </c>
      <c r="E227" s="2" t="s">
        <v>46</v>
      </c>
      <c r="F227" s="2" t="s">
        <v>13</v>
      </c>
      <c r="G227" s="2" t="s">
        <v>73</v>
      </c>
      <c r="H227" s="2" t="s">
        <v>15</v>
      </c>
      <c r="I227" s="2" t="n">
        <v>0</v>
      </c>
    </row>
    <row r="228" customFormat="false" ht="15" hidden="false" customHeight="false" outlineLevel="0" collapsed="false">
      <c r="A228" s="2" t="s">
        <v>576</v>
      </c>
      <c r="B228" s="2" t="s">
        <v>577</v>
      </c>
      <c r="C228" s="2" t="s">
        <v>578</v>
      </c>
      <c r="D228" s="2" t="n">
        <v>2026</v>
      </c>
      <c r="E228" s="2" t="s">
        <v>12</v>
      </c>
      <c r="F228" s="2" t="s">
        <v>26</v>
      </c>
      <c r="G228" s="2" t="s">
        <v>52</v>
      </c>
      <c r="H228" s="2" t="s">
        <v>28</v>
      </c>
      <c r="I228" s="2" t="n">
        <v>0</v>
      </c>
    </row>
    <row r="229" customFormat="false" ht="15" hidden="false" customHeight="false" outlineLevel="0" collapsed="false">
      <c r="A229" s="2" t="s">
        <v>579</v>
      </c>
      <c r="B229" s="2" t="s">
        <v>580</v>
      </c>
      <c r="C229" s="2" t="s">
        <v>578</v>
      </c>
      <c r="D229" s="2" t="n">
        <v>2026</v>
      </c>
      <c r="E229" s="2" t="s">
        <v>12</v>
      </c>
      <c r="F229" s="2" t="s">
        <v>64</v>
      </c>
      <c r="G229" s="2" t="s">
        <v>52</v>
      </c>
      <c r="H229" s="2" t="s">
        <v>65</v>
      </c>
      <c r="I229" s="2" t="n">
        <v>0</v>
      </c>
    </row>
    <row r="230" customFormat="false" ht="15" hidden="false" customHeight="false" outlineLevel="0" collapsed="false">
      <c r="A230" s="2" t="s">
        <v>581</v>
      </c>
      <c r="B230" s="2" t="s">
        <v>582</v>
      </c>
      <c r="C230" s="2" t="s">
        <v>583</v>
      </c>
      <c r="D230" s="2" t="n">
        <v>2026</v>
      </c>
      <c r="E230" s="2" t="s">
        <v>12</v>
      </c>
      <c r="F230" s="2" t="s">
        <v>55</v>
      </c>
      <c r="G230" s="2" t="s">
        <v>23</v>
      </c>
      <c r="H230" s="2" t="s">
        <v>56</v>
      </c>
      <c r="I230" s="2" t="n">
        <v>1</v>
      </c>
    </row>
    <row r="231" customFormat="false" ht="15" hidden="false" customHeight="false" outlineLevel="0" collapsed="false">
      <c r="A231" s="2" t="s">
        <v>584</v>
      </c>
      <c r="B231" s="2" t="s">
        <v>585</v>
      </c>
      <c r="C231" s="2" t="s">
        <v>583</v>
      </c>
      <c r="D231" s="2" t="n">
        <v>2026</v>
      </c>
      <c r="E231" s="2" t="s">
        <v>12</v>
      </c>
      <c r="F231" s="2" t="s">
        <v>64</v>
      </c>
      <c r="G231" s="2" t="s">
        <v>73</v>
      </c>
      <c r="H231" s="2" t="s">
        <v>65</v>
      </c>
      <c r="I231" s="2" t="n">
        <v>0</v>
      </c>
    </row>
    <row r="232" customFormat="false" ht="15" hidden="false" customHeight="false" outlineLevel="0" collapsed="false">
      <c r="A232" s="2" t="s">
        <v>586</v>
      </c>
      <c r="B232" s="2" t="s">
        <v>587</v>
      </c>
      <c r="C232" s="2" t="s">
        <v>588</v>
      </c>
      <c r="D232" s="2" t="n">
        <v>2026</v>
      </c>
      <c r="E232" s="2" t="s">
        <v>12</v>
      </c>
      <c r="F232" s="2" t="s">
        <v>82</v>
      </c>
      <c r="G232" s="2" t="s">
        <v>14</v>
      </c>
      <c r="H232" s="2" t="s">
        <v>83</v>
      </c>
      <c r="I232" s="2" t="n">
        <v>0</v>
      </c>
    </row>
    <row r="233" customFormat="false" ht="15" hidden="false" customHeight="false" outlineLevel="0" collapsed="false">
      <c r="A233" s="2" t="s">
        <v>589</v>
      </c>
      <c r="B233" s="2" t="s">
        <v>590</v>
      </c>
      <c r="C233" s="2" t="s">
        <v>588</v>
      </c>
      <c r="D233" s="2" t="n">
        <v>2026</v>
      </c>
      <c r="E233" s="2" t="s">
        <v>12</v>
      </c>
      <c r="F233" s="2" t="s">
        <v>82</v>
      </c>
      <c r="G233" s="2" t="s">
        <v>14</v>
      </c>
      <c r="H233" s="2" t="s">
        <v>83</v>
      </c>
      <c r="I233" s="2" t="n">
        <v>0</v>
      </c>
    </row>
    <row r="234" customFormat="false" ht="15" hidden="false" customHeight="false" outlineLevel="0" collapsed="false">
      <c r="A234" s="2" t="s">
        <v>591</v>
      </c>
      <c r="B234" s="2" t="s">
        <v>592</v>
      </c>
      <c r="C234" s="2" t="s">
        <v>588</v>
      </c>
      <c r="D234" s="2" t="n">
        <v>2026</v>
      </c>
      <c r="E234" s="2" t="s">
        <v>12</v>
      </c>
      <c r="F234" s="2" t="s">
        <v>26</v>
      </c>
      <c r="G234" s="2" t="s">
        <v>27</v>
      </c>
      <c r="H234" s="2" t="s">
        <v>28</v>
      </c>
      <c r="I234" s="2" t="n">
        <v>1</v>
      </c>
    </row>
    <row r="235" customFormat="false" ht="15" hidden="false" customHeight="false" outlineLevel="0" collapsed="false">
      <c r="A235" s="2" t="s">
        <v>593</v>
      </c>
      <c r="B235" s="2" t="s">
        <v>594</v>
      </c>
      <c r="C235" s="2" t="s">
        <v>588</v>
      </c>
      <c r="D235" s="2" t="n">
        <v>2026</v>
      </c>
      <c r="E235" s="2" t="s">
        <v>12</v>
      </c>
      <c r="F235" s="2" t="s">
        <v>26</v>
      </c>
      <c r="G235" s="2" t="s">
        <v>52</v>
      </c>
      <c r="H235" s="2" t="s">
        <v>28</v>
      </c>
      <c r="I235" s="2" t="n">
        <v>2</v>
      </c>
    </row>
    <row r="236" customFormat="false" ht="15" hidden="false" customHeight="false" outlineLevel="0" collapsed="false">
      <c r="A236" s="2" t="s">
        <v>595</v>
      </c>
      <c r="B236" s="2" t="s">
        <v>596</v>
      </c>
      <c r="C236" s="2" t="s">
        <v>588</v>
      </c>
      <c r="D236" s="2" t="n">
        <v>2026</v>
      </c>
      <c r="E236" s="2" t="s">
        <v>12</v>
      </c>
      <c r="F236" s="2" t="s">
        <v>82</v>
      </c>
      <c r="G236" s="2" t="s">
        <v>37</v>
      </c>
      <c r="H236" s="2" t="s">
        <v>83</v>
      </c>
      <c r="I236" s="2" t="n">
        <v>0</v>
      </c>
    </row>
    <row r="237" customFormat="false" ht="15" hidden="false" customHeight="false" outlineLevel="0" collapsed="false">
      <c r="A237" s="2" t="s">
        <v>597</v>
      </c>
      <c r="B237" s="2" t="s">
        <v>598</v>
      </c>
      <c r="C237" s="2" t="s">
        <v>588</v>
      </c>
      <c r="D237" s="2" t="n">
        <v>2026</v>
      </c>
      <c r="E237" s="2" t="s">
        <v>12</v>
      </c>
      <c r="F237" s="2" t="s">
        <v>26</v>
      </c>
      <c r="G237" s="2" t="s">
        <v>52</v>
      </c>
      <c r="H237" s="2" t="s">
        <v>28</v>
      </c>
      <c r="I237" s="2" t="n">
        <v>3</v>
      </c>
    </row>
    <row r="238" customFormat="false" ht="15" hidden="false" customHeight="false" outlineLevel="0" collapsed="false">
      <c r="A238" s="2" t="s">
        <v>599</v>
      </c>
      <c r="B238" s="2" t="s">
        <v>600</v>
      </c>
      <c r="C238" s="2" t="s">
        <v>588</v>
      </c>
      <c r="D238" s="2" t="n">
        <v>2026</v>
      </c>
      <c r="E238" s="2" t="s">
        <v>12</v>
      </c>
      <c r="F238" s="2" t="s">
        <v>13</v>
      </c>
      <c r="G238" s="2" t="s">
        <v>23</v>
      </c>
      <c r="H238" s="2" t="s">
        <v>15</v>
      </c>
      <c r="I238" s="2" t="n">
        <v>1</v>
      </c>
    </row>
    <row r="239" customFormat="false" ht="15" hidden="false" customHeight="false" outlineLevel="0" collapsed="false">
      <c r="A239" s="2" t="s">
        <v>601</v>
      </c>
      <c r="B239" s="2" t="s">
        <v>602</v>
      </c>
      <c r="C239" s="2" t="s">
        <v>603</v>
      </c>
      <c r="D239" s="2" t="n">
        <v>2025</v>
      </c>
      <c r="E239" s="2" t="s">
        <v>12</v>
      </c>
      <c r="F239" s="2" t="s">
        <v>26</v>
      </c>
      <c r="G239" s="2" t="s">
        <v>52</v>
      </c>
      <c r="H239" s="2" t="s">
        <v>28</v>
      </c>
      <c r="I239" s="2" t="n">
        <v>0</v>
      </c>
    </row>
    <row r="240" customFormat="false" ht="15" hidden="false" customHeight="false" outlineLevel="0" collapsed="false">
      <c r="A240" s="2" t="s">
        <v>604</v>
      </c>
      <c r="B240" s="2" t="s">
        <v>605</v>
      </c>
      <c r="C240" s="2" t="s">
        <v>603</v>
      </c>
      <c r="D240" s="2" t="n">
        <v>2025</v>
      </c>
      <c r="E240" s="2" t="s">
        <v>12</v>
      </c>
      <c r="F240" s="2" t="s">
        <v>64</v>
      </c>
      <c r="G240" s="2" t="s">
        <v>27</v>
      </c>
      <c r="H240" s="2" t="s">
        <v>65</v>
      </c>
      <c r="I240" s="2" t="n">
        <v>2</v>
      </c>
    </row>
    <row r="241" customFormat="false" ht="15" hidden="false" customHeight="false" outlineLevel="0" collapsed="false">
      <c r="A241" s="2" t="s">
        <v>606</v>
      </c>
      <c r="B241" s="2" t="s">
        <v>607</v>
      </c>
      <c r="C241" s="2" t="s">
        <v>603</v>
      </c>
      <c r="D241" s="2" t="n">
        <v>2025</v>
      </c>
      <c r="E241" s="2" t="s">
        <v>12</v>
      </c>
      <c r="F241" s="2" t="s">
        <v>26</v>
      </c>
      <c r="G241" s="2" t="s">
        <v>23</v>
      </c>
      <c r="H241" s="2" t="s">
        <v>28</v>
      </c>
      <c r="I241" s="2" t="n">
        <v>0</v>
      </c>
    </row>
    <row r="242" customFormat="false" ht="15" hidden="false" customHeight="false" outlineLevel="0" collapsed="false">
      <c r="A242" s="2" t="s">
        <v>608</v>
      </c>
      <c r="B242" s="2" t="s">
        <v>609</v>
      </c>
      <c r="C242" s="2" t="s">
        <v>610</v>
      </c>
      <c r="D242" s="2" t="n">
        <v>2025</v>
      </c>
      <c r="E242" s="2" t="s">
        <v>12</v>
      </c>
      <c r="F242" s="2" t="s">
        <v>82</v>
      </c>
      <c r="G242" s="2" t="s">
        <v>23</v>
      </c>
      <c r="H242" s="2" t="s">
        <v>83</v>
      </c>
      <c r="I242" s="2" t="n">
        <v>0</v>
      </c>
    </row>
    <row r="243" customFormat="false" ht="15" hidden="false" customHeight="false" outlineLevel="0" collapsed="false">
      <c r="A243" s="2" t="s">
        <v>611</v>
      </c>
      <c r="B243" s="2" t="s">
        <v>612</v>
      </c>
      <c r="C243" s="2" t="s">
        <v>610</v>
      </c>
      <c r="D243" s="2" t="n">
        <v>2025</v>
      </c>
      <c r="E243" s="2" t="s">
        <v>12</v>
      </c>
      <c r="F243" s="2" t="s">
        <v>13</v>
      </c>
      <c r="G243" s="2" t="s">
        <v>37</v>
      </c>
      <c r="H243" s="2" t="s">
        <v>15</v>
      </c>
      <c r="I243" s="2" t="n">
        <v>0</v>
      </c>
    </row>
    <row r="244" customFormat="false" ht="15" hidden="false" customHeight="false" outlineLevel="0" collapsed="false">
      <c r="A244" s="2" t="s">
        <v>613</v>
      </c>
      <c r="B244" s="2" t="s">
        <v>614</v>
      </c>
      <c r="C244" s="2" t="s">
        <v>610</v>
      </c>
      <c r="D244" s="2" t="n">
        <v>2025</v>
      </c>
      <c r="E244" s="2" t="s">
        <v>12</v>
      </c>
      <c r="F244" s="2" t="s">
        <v>82</v>
      </c>
      <c r="G244" s="2" t="s">
        <v>14</v>
      </c>
      <c r="H244" s="2" t="s">
        <v>83</v>
      </c>
      <c r="I244" s="2" t="n">
        <v>0</v>
      </c>
    </row>
    <row r="245" customFormat="false" ht="15" hidden="false" customHeight="false" outlineLevel="0" collapsed="false">
      <c r="A245" s="2" t="s">
        <v>615</v>
      </c>
      <c r="B245" s="2" t="s">
        <v>616</v>
      </c>
      <c r="C245" s="2" t="s">
        <v>610</v>
      </c>
      <c r="D245" s="2" t="n">
        <v>2025</v>
      </c>
      <c r="E245" s="2" t="s">
        <v>12</v>
      </c>
      <c r="F245" s="2" t="s">
        <v>13</v>
      </c>
      <c r="G245" s="2" t="s">
        <v>37</v>
      </c>
      <c r="H245" s="2" t="s">
        <v>15</v>
      </c>
      <c r="I245" s="2" t="n">
        <v>0</v>
      </c>
    </row>
    <row r="246" customFormat="false" ht="15" hidden="false" customHeight="false" outlineLevel="0" collapsed="false">
      <c r="A246" s="2" t="s">
        <v>617</v>
      </c>
      <c r="B246" s="2" t="s">
        <v>618</v>
      </c>
      <c r="C246" s="2" t="s">
        <v>619</v>
      </c>
      <c r="D246" s="2" t="n">
        <v>2025</v>
      </c>
      <c r="E246" s="2" t="s">
        <v>12</v>
      </c>
      <c r="F246" s="2" t="s">
        <v>146</v>
      </c>
      <c r="G246" s="2" t="s">
        <v>27</v>
      </c>
      <c r="H246" s="2" t="s">
        <v>147</v>
      </c>
      <c r="I246" s="2" t="n">
        <v>0</v>
      </c>
    </row>
    <row r="247" customFormat="false" ht="15" hidden="false" customHeight="false" outlineLevel="0" collapsed="false">
      <c r="A247" s="2" t="s">
        <v>620</v>
      </c>
      <c r="B247" s="2" t="s">
        <v>621</v>
      </c>
      <c r="C247" s="2" t="s">
        <v>619</v>
      </c>
      <c r="D247" s="2" t="n">
        <v>2025</v>
      </c>
      <c r="E247" s="2" t="s">
        <v>12</v>
      </c>
      <c r="F247" s="2" t="s">
        <v>55</v>
      </c>
      <c r="G247" s="2" t="s">
        <v>52</v>
      </c>
      <c r="H247" s="2" t="s">
        <v>56</v>
      </c>
      <c r="I247" s="2" t="n">
        <v>0</v>
      </c>
    </row>
    <row r="248" customFormat="false" ht="15" hidden="false" customHeight="false" outlineLevel="0" collapsed="false">
      <c r="A248" s="2" t="s">
        <v>622</v>
      </c>
      <c r="B248" s="2" t="s">
        <v>623</v>
      </c>
      <c r="C248" s="2" t="s">
        <v>619</v>
      </c>
      <c r="D248" s="2" t="n">
        <v>2025</v>
      </c>
      <c r="E248" s="2" t="s">
        <v>12</v>
      </c>
      <c r="F248" s="2" t="s">
        <v>26</v>
      </c>
      <c r="G248" s="2" t="s">
        <v>73</v>
      </c>
      <c r="H248" s="2" t="s">
        <v>28</v>
      </c>
      <c r="I248" s="2" t="n">
        <v>0</v>
      </c>
    </row>
    <row r="249" customFormat="false" ht="15" hidden="false" customHeight="false" outlineLevel="0" collapsed="false">
      <c r="A249" s="2" t="s">
        <v>624</v>
      </c>
      <c r="B249" s="2" t="s">
        <v>625</v>
      </c>
      <c r="C249" s="2" t="s">
        <v>626</v>
      </c>
      <c r="D249" s="2" t="n">
        <v>2025</v>
      </c>
      <c r="E249" s="2" t="s">
        <v>12</v>
      </c>
      <c r="F249" s="2" t="s">
        <v>82</v>
      </c>
      <c r="G249" s="2" t="s">
        <v>34</v>
      </c>
      <c r="H249" s="2" t="s">
        <v>83</v>
      </c>
      <c r="I249" s="2" t="n">
        <v>0</v>
      </c>
    </row>
    <row r="250" customFormat="false" ht="15" hidden="false" customHeight="false" outlineLevel="0" collapsed="false">
      <c r="A250" s="2" t="s">
        <v>627</v>
      </c>
      <c r="B250" s="2" t="s">
        <v>628</v>
      </c>
      <c r="C250" s="2" t="s">
        <v>626</v>
      </c>
      <c r="D250" s="2" t="n">
        <v>2025</v>
      </c>
      <c r="E250" s="2" t="s">
        <v>12</v>
      </c>
      <c r="F250" s="2" t="s">
        <v>82</v>
      </c>
      <c r="G250" s="2" t="s">
        <v>34</v>
      </c>
      <c r="H250" s="2" t="s">
        <v>83</v>
      </c>
      <c r="I250" s="2" t="n">
        <v>0</v>
      </c>
    </row>
    <row r="251" customFormat="false" ht="15" hidden="false" customHeight="false" outlineLevel="0" collapsed="false">
      <c r="A251" s="2" t="s">
        <v>629</v>
      </c>
      <c r="B251" s="2" t="s">
        <v>630</v>
      </c>
      <c r="C251" s="2" t="s">
        <v>631</v>
      </c>
      <c r="D251" s="2" t="n">
        <v>2025</v>
      </c>
      <c r="E251" s="2" t="s">
        <v>46</v>
      </c>
      <c r="F251" s="2" t="s">
        <v>26</v>
      </c>
      <c r="G251" s="2" t="s">
        <v>14</v>
      </c>
      <c r="H251" s="2" t="s">
        <v>28</v>
      </c>
      <c r="I251" s="2" t="n">
        <v>0</v>
      </c>
    </row>
    <row r="252" customFormat="false" ht="15" hidden="false" customHeight="false" outlineLevel="0" collapsed="false">
      <c r="A252" s="2" t="s">
        <v>632</v>
      </c>
      <c r="B252" s="2" t="s">
        <v>633</v>
      </c>
      <c r="C252" s="2" t="s">
        <v>631</v>
      </c>
      <c r="D252" s="2" t="n">
        <v>2025</v>
      </c>
      <c r="E252" s="2" t="s">
        <v>46</v>
      </c>
      <c r="F252" s="2" t="s">
        <v>26</v>
      </c>
      <c r="G252" s="2" t="s">
        <v>23</v>
      </c>
      <c r="H252" s="2" t="s">
        <v>28</v>
      </c>
      <c r="I252" s="2" t="n">
        <v>0</v>
      </c>
    </row>
    <row r="253" customFormat="false" ht="15" hidden="false" customHeight="false" outlineLevel="0" collapsed="false">
      <c r="A253" s="2" t="s">
        <v>634</v>
      </c>
      <c r="B253" s="2" t="s">
        <v>635</v>
      </c>
      <c r="C253" s="2" t="s">
        <v>636</v>
      </c>
      <c r="D253" s="2" t="n">
        <v>2025</v>
      </c>
      <c r="E253" s="2" t="s">
        <v>12</v>
      </c>
      <c r="F253" s="2" t="s">
        <v>64</v>
      </c>
      <c r="G253" s="2" t="s">
        <v>52</v>
      </c>
      <c r="H253" s="2" t="s">
        <v>65</v>
      </c>
      <c r="I253" s="2" t="n">
        <v>0</v>
      </c>
    </row>
    <row r="254" customFormat="false" ht="15" hidden="false" customHeight="false" outlineLevel="0" collapsed="false">
      <c r="A254" s="2" t="s">
        <v>637</v>
      </c>
      <c r="B254" s="2" t="s">
        <v>638</v>
      </c>
      <c r="C254" s="2" t="s">
        <v>639</v>
      </c>
      <c r="D254" s="2" t="n">
        <v>2025</v>
      </c>
      <c r="E254" s="2" t="s">
        <v>12</v>
      </c>
      <c r="F254" s="2" t="s">
        <v>64</v>
      </c>
      <c r="G254" s="2" t="s">
        <v>27</v>
      </c>
      <c r="H254" s="2" t="s">
        <v>65</v>
      </c>
      <c r="I254" s="2" t="n">
        <v>0</v>
      </c>
    </row>
    <row r="255" customFormat="false" ht="15" hidden="false" customHeight="false" outlineLevel="0" collapsed="false">
      <c r="A255" s="2" t="s">
        <v>640</v>
      </c>
      <c r="B255" s="2" t="s">
        <v>641</v>
      </c>
      <c r="C255" s="2" t="s">
        <v>639</v>
      </c>
      <c r="D255" s="2" t="n">
        <v>2025</v>
      </c>
      <c r="E255" s="2" t="s">
        <v>12</v>
      </c>
      <c r="F255" s="2" t="s">
        <v>64</v>
      </c>
      <c r="G255" s="2" t="s">
        <v>27</v>
      </c>
      <c r="H255" s="2" t="s">
        <v>65</v>
      </c>
      <c r="I255" s="2" t="n">
        <v>0</v>
      </c>
    </row>
    <row r="256" customFormat="false" ht="15" hidden="false" customHeight="false" outlineLevel="0" collapsed="false">
      <c r="A256" s="2" t="s">
        <v>642</v>
      </c>
      <c r="B256" s="2" t="s">
        <v>643</v>
      </c>
      <c r="C256" s="2" t="s">
        <v>639</v>
      </c>
      <c r="D256" s="2" t="n">
        <v>2025</v>
      </c>
      <c r="E256" s="2" t="s">
        <v>12</v>
      </c>
      <c r="F256" s="2" t="s">
        <v>64</v>
      </c>
      <c r="G256" s="2" t="s">
        <v>73</v>
      </c>
      <c r="H256" s="2" t="s">
        <v>65</v>
      </c>
      <c r="I256" s="2" t="n">
        <v>0</v>
      </c>
    </row>
    <row r="257" customFormat="false" ht="15" hidden="false" customHeight="false" outlineLevel="0" collapsed="false">
      <c r="A257" s="2" t="s">
        <v>644</v>
      </c>
      <c r="B257" s="2" t="s">
        <v>645</v>
      </c>
      <c r="C257" s="2" t="s">
        <v>639</v>
      </c>
      <c r="D257" s="2" t="n">
        <v>2025</v>
      </c>
      <c r="E257" s="2" t="s">
        <v>12</v>
      </c>
      <c r="F257" s="2" t="s">
        <v>64</v>
      </c>
      <c r="G257" s="2" t="s">
        <v>52</v>
      </c>
      <c r="H257" s="2" t="s">
        <v>65</v>
      </c>
      <c r="I257" s="2" t="n">
        <v>0</v>
      </c>
    </row>
    <row r="258" customFormat="false" ht="15" hidden="false" customHeight="false" outlineLevel="0" collapsed="false">
      <c r="A258" s="2" t="s">
        <v>646</v>
      </c>
      <c r="B258" s="2" t="s">
        <v>647</v>
      </c>
      <c r="C258" s="2" t="s">
        <v>648</v>
      </c>
      <c r="D258" s="2" t="n">
        <v>2025</v>
      </c>
      <c r="E258" s="2" t="s">
        <v>46</v>
      </c>
      <c r="F258" s="2" t="s">
        <v>64</v>
      </c>
      <c r="G258" s="2" t="s">
        <v>14</v>
      </c>
      <c r="H258" s="2" t="s">
        <v>65</v>
      </c>
      <c r="I258" s="2" t="n">
        <v>0</v>
      </c>
    </row>
    <row r="259" customFormat="false" ht="15" hidden="false" customHeight="false" outlineLevel="0" collapsed="false">
      <c r="A259" s="2" t="s">
        <v>649</v>
      </c>
      <c r="B259" s="2" t="s">
        <v>650</v>
      </c>
      <c r="C259" s="2" t="s">
        <v>648</v>
      </c>
      <c r="D259" s="2" t="n">
        <v>2025</v>
      </c>
      <c r="E259" s="2" t="s">
        <v>46</v>
      </c>
      <c r="F259" s="2" t="s">
        <v>64</v>
      </c>
      <c r="G259" s="2" t="s">
        <v>107</v>
      </c>
      <c r="H259" s="2" t="s">
        <v>65</v>
      </c>
      <c r="I259" s="2" t="n">
        <v>0</v>
      </c>
    </row>
    <row r="260" customFormat="false" ht="15" hidden="false" customHeight="false" outlineLevel="0" collapsed="false">
      <c r="A260" s="2" t="s">
        <v>651</v>
      </c>
      <c r="B260" s="2" t="s">
        <v>652</v>
      </c>
      <c r="C260" s="2" t="s">
        <v>653</v>
      </c>
      <c r="D260" s="2" t="n">
        <v>2025</v>
      </c>
      <c r="E260" s="2" t="s">
        <v>432</v>
      </c>
      <c r="F260" s="2" t="s">
        <v>155</v>
      </c>
      <c r="G260" s="2" t="s">
        <v>23</v>
      </c>
      <c r="H260" s="2" t="s">
        <v>156</v>
      </c>
      <c r="I260" s="2" t="n">
        <v>0</v>
      </c>
    </row>
    <row r="261" customFormat="false" ht="15" hidden="false" customHeight="false" outlineLevel="0" collapsed="false">
      <c r="A261" s="2" t="s">
        <v>654</v>
      </c>
      <c r="B261" s="2" t="s">
        <v>655</v>
      </c>
      <c r="C261" s="2" t="s">
        <v>656</v>
      </c>
      <c r="D261" s="2" t="n">
        <v>2025</v>
      </c>
      <c r="E261" s="2" t="s">
        <v>12</v>
      </c>
      <c r="F261" s="2" t="s">
        <v>64</v>
      </c>
      <c r="G261" s="2" t="s">
        <v>27</v>
      </c>
      <c r="H261" s="2" t="s">
        <v>65</v>
      </c>
      <c r="I261" s="2" t="n">
        <v>0</v>
      </c>
    </row>
    <row r="262" customFormat="false" ht="15" hidden="false" customHeight="false" outlineLevel="0" collapsed="false">
      <c r="A262" s="2" t="s">
        <v>657</v>
      </c>
      <c r="B262" s="2" t="s">
        <v>658</v>
      </c>
      <c r="C262" s="2" t="s">
        <v>656</v>
      </c>
      <c r="D262" s="2" t="n">
        <v>2025</v>
      </c>
      <c r="E262" s="2" t="s">
        <v>12</v>
      </c>
      <c r="F262" s="2" t="s">
        <v>82</v>
      </c>
      <c r="G262" s="2" t="s">
        <v>52</v>
      </c>
      <c r="H262" s="2" t="s">
        <v>83</v>
      </c>
      <c r="I262" s="2" t="n">
        <v>2</v>
      </c>
    </row>
    <row r="263" customFormat="false" ht="15" hidden="false" customHeight="false" outlineLevel="0" collapsed="false">
      <c r="A263" s="2" t="s">
        <v>659</v>
      </c>
      <c r="B263" s="2" t="s">
        <v>660</v>
      </c>
      <c r="C263" s="2" t="s">
        <v>656</v>
      </c>
      <c r="D263" s="2" t="n">
        <v>2025</v>
      </c>
      <c r="E263" s="2" t="s">
        <v>12</v>
      </c>
      <c r="F263" s="2" t="s">
        <v>13</v>
      </c>
      <c r="G263" s="2" t="s">
        <v>27</v>
      </c>
      <c r="H263" s="2" t="s">
        <v>548</v>
      </c>
      <c r="I263" s="2" t="n">
        <v>0</v>
      </c>
    </row>
    <row r="264" customFormat="false" ht="15" hidden="false" customHeight="false" outlineLevel="0" collapsed="false">
      <c r="A264" s="2" t="s">
        <v>661</v>
      </c>
      <c r="B264" s="2" t="s">
        <v>662</v>
      </c>
      <c r="C264" s="2" t="s">
        <v>656</v>
      </c>
      <c r="D264" s="2" t="n">
        <v>2025</v>
      </c>
      <c r="E264" s="2" t="s">
        <v>12</v>
      </c>
      <c r="F264" s="2" t="s">
        <v>26</v>
      </c>
      <c r="G264" s="2" t="s">
        <v>107</v>
      </c>
      <c r="H264" s="2" t="s">
        <v>28</v>
      </c>
      <c r="I264" s="2" t="n">
        <v>0</v>
      </c>
    </row>
    <row r="265" customFormat="false" ht="15" hidden="false" customHeight="false" outlineLevel="0" collapsed="false">
      <c r="A265" s="2" t="s">
        <v>663</v>
      </c>
      <c r="B265" s="2" t="s">
        <v>664</v>
      </c>
      <c r="C265" s="2" t="s">
        <v>656</v>
      </c>
      <c r="D265" s="2" t="n">
        <v>2025</v>
      </c>
      <c r="E265" s="2" t="s">
        <v>12</v>
      </c>
      <c r="F265" s="2" t="s">
        <v>64</v>
      </c>
      <c r="G265" s="2" t="s">
        <v>37</v>
      </c>
      <c r="H265" s="2" t="s">
        <v>65</v>
      </c>
      <c r="I265" s="2" t="n">
        <v>1</v>
      </c>
    </row>
    <row r="266" customFormat="false" ht="15" hidden="false" customHeight="false" outlineLevel="0" collapsed="false">
      <c r="A266" s="2" t="s">
        <v>665</v>
      </c>
      <c r="B266" s="2" t="s">
        <v>666</v>
      </c>
      <c r="C266" s="2" t="s">
        <v>656</v>
      </c>
      <c r="D266" s="2" t="n">
        <v>2025</v>
      </c>
      <c r="E266" s="2" t="s">
        <v>12</v>
      </c>
      <c r="F266" s="2" t="s">
        <v>146</v>
      </c>
      <c r="G266" s="2" t="s">
        <v>52</v>
      </c>
      <c r="H266" s="2" t="s">
        <v>147</v>
      </c>
      <c r="I266" s="2" t="n">
        <v>1</v>
      </c>
    </row>
    <row r="267" customFormat="false" ht="15" hidden="false" customHeight="false" outlineLevel="0" collapsed="false">
      <c r="A267" s="2" t="s">
        <v>667</v>
      </c>
      <c r="B267" s="2" t="s">
        <v>668</v>
      </c>
      <c r="C267" s="2" t="s">
        <v>656</v>
      </c>
      <c r="D267" s="2" t="n">
        <v>2025</v>
      </c>
      <c r="E267" s="2" t="s">
        <v>12</v>
      </c>
      <c r="F267" s="2" t="s">
        <v>82</v>
      </c>
      <c r="G267" s="2" t="s">
        <v>23</v>
      </c>
      <c r="H267" s="2" t="s">
        <v>83</v>
      </c>
      <c r="I267" s="2" t="n">
        <v>2</v>
      </c>
    </row>
    <row r="268" customFormat="false" ht="15" hidden="false" customHeight="false" outlineLevel="0" collapsed="false">
      <c r="A268" s="2" t="s">
        <v>669</v>
      </c>
      <c r="B268" s="2" t="s">
        <v>670</v>
      </c>
      <c r="C268" s="2" t="s">
        <v>656</v>
      </c>
      <c r="D268" s="2" t="n">
        <v>2025</v>
      </c>
      <c r="E268" s="2" t="s">
        <v>12</v>
      </c>
      <c r="F268" s="2" t="s">
        <v>13</v>
      </c>
      <c r="G268" s="2" t="s">
        <v>37</v>
      </c>
      <c r="H268" s="2" t="s">
        <v>15</v>
      </c>
      <c r="I268" s="2" t="n">
        <v>0</v>
      </c>
    </row>
    <row r="269" customFormat="false" ht="15" hidden="false" customHeight="false" outlineLevel="0" collapsed="false">
      <c r="A269" s="2" t="s">
        <v>671</v>
      </c>
      <c r="B269" s="2" t="s">
        <v>672</v>
      </c>
      <c r="C269" s="2" t="s">
        <v>656</v>
      </c>
      <c r="D269" s="2" t="n">
        <v>2025</v>
      </c>
      <c r="E269" s="2" t="s">
        <v>12</v>
      </c>
      <c r="F269" s="2" t="s">
        <v>146</v>
      </c>
      <c r="G269" s="2" t="s">
        <v>27</v>
      </c>
      <c r="H269" s="2" t="s">
        <v>147</v>
      </c>
      <c r="I269" s="2" t="n">
        <v>1</v>
      </c>
    </row>
    <row r="270" customFormat="false" ht="15" hidden="false" customHeight="false" outlineLevel="0" collapsed="false">
      <c r="A270" s="2" t="s">
        <v>673</v>
      </c>
      <c r="B270" s="2" t="s">
        <v>674</v>
      </c>
      <c r="C270" s="2" t="s">
        <v>675</v>
      </c>
      <c r="D270" s="2" t="n">
        <v>2025</v>
      </c>
      <c r="E270" s="2" t="s">
        <v>60</v>
      </c>
      <c r="F270" s="2" t="s">
        <v>314</v>
      </c>
      <c r="G270" s="2" t="s">
        <v>52</v>
      </c>
      <c r="H270" s="2" t="s">
        <v>315</v>
      </c>
      <c r="I270" s="2" t="n">
        <v>0</v>
      </c>
    </row>
    <row r="271" customFormat="false" ht="15" hidden="false" customHeight="false" outlineLevel="0" collapsed="false">
      <c r="A271" s="2" t="s">
        <v>676</v>
      </c>
      <c r="B271" s="2" t="s">
        <v>677</v>
      </c>
      <c r="C271" s="2" t="s">
        <v>675</v>
      </c>
      <c r="D271" s="2" t="n">
        <v>2025</v>
      </c>
      <c r="E271" s="2" t="s">
        <v>60</v>
      </c>
      <c r="F271" s="2" t="s">
        <v>314</v>
      </c>
      <c r="G271" s="2" t="s">
        <v>37</v>
      </c>
      <c r="H271" s="2" t="s">
        <v>315</v>
      </c>
      <c r="I271" s="2" t="n">
        <v>0</v>
      </c>
    </row>
    <row r="272" customFormat="false" ht="15" hidden="false" customHeight="false" outlineLevel="0" collapsed="false">
      <c r="A272" s="2" t="s">
        <v>678</v>
      </c>
      <c r="B272" s="2" t="s">
        <v>552</v>
      </c>
      <c r="C272" s="2" t="s">
        <v>675</v>
      </c>
      <c r="D272" s="2" t="n">
        <v>2025</v>
      </c>
      <c r="E272" s="2" t="s">
        <v>432</v>
      </c>
      <c r="F272" s="2" t="s">
        <v>55</v>
      </c>
      <c r="G272" s="2" t="s">
        <v>52</v>
      </c>
      <c r="H272" s="2" t="s">
        <v>56</v>
      </c>
      <c r="I272" s="2" t="n">
        <v>0</v>
      </c>
    </row>
    <row r="273" customFormat="false" ht="15" hidden="false" customHeight="false" outlineLevel="0" collapsed="false">
      <c r="A273" s="2" t="s">
        <v>679</v>
      </c>
      <c r="B273" s="2" t="s">
        <v>680</v>
      </c>
      <c r="C273" s="2" t="s">
        <v>681</v>
      </c>
      <c r="D273" s="2" t="n">
        <v>2025</v>
      </c>
      <c r="E273" s="2" t="s">
        <v>12</v>
      </c>
      <c r="F273" s="2" t="s">
        <v>64</v>
      </c>
      <c r="G273" s="2" t="s">
        <v>37</v>
      </c>
      <c r="H273" s="2" t="s">
        <v>65</v>
      </c>
      <c r="I273" s="2" t="n">
        <v>0</v>
      </c>
    </row>
    <row r="274" customFormat="false" ht="15" hidden="false" customHeight="false" outlineLevel="0" collapsed="false">
      <c r="A274" s="2" t="s">
        <v>682</v>
      </c>
      <c r="B274" s="2" t="s">
        <v>683</v>
      </c>
      <c r="C274" s="2" t="s">
        <v>681</v>
      </c>
      <c r="D274" s="2" t="n">
        <v>2025</v>
      </c>
      <c r="E274" s="2" t="s">
        <v>12</v>
      </c>
      <c r="F274" s="2" t="s">
        <v>684</v>
      </c>
      <c r="G274" s="2" t="s">
        <v>107</v>
      </c>
      <c r="H274" s="2" t="s">
        <v>685</v>
      </c>
      <c r="I274" s="2" t="n">
        <v>0</v>
      </c>
    </row>
    <row r="275" customFormat="false" ht="15" hidden="false" customHeight="false" outlineLevel="0" collapsed="false">
      <c r="A275" s="2" t="s">
        <v>686</v>
      </c>
      <c r="B275" s="2" t="s">
        <v>687</v>
      </c>
      <c r="C275" s="2" t="s">
        <v>688</v>
      </c>
      <c r="D275" s="2" t="n">
        <v>2025</v>
      </c>
      <c r="E275" s="2" t="s">
        <v>60</v>
      </c>
      <c r="F275" s="2" t="s">
        <v>314</v>
      </c>
      <c r="G275" s="2" t="s">
        <v>27</v>
      </c>
      <c r="H275" s="2" t="s">
        <v>689</v>
      </c>
      <c r="I275" s="2" t="n">
        <v>0</v>
      </c>
    </row>
    <row r="276" customFormat="false" ht="15" hidden="false" customHeight="false" outlineLevel="0" collapsed="false">
      <c r="A276" s="2" t="s">
        <v>690</v>
      </c>
      <c r="B276" s="2" t="s">
        <v>691</v>
      </c>
      <c r="C276" s="2" t="s">
        <v>692</v>
      </c>
      <c r="D276" s="2" t="n">
        <v>2025</v>
      </c>
      <c r="E276" s="2" t="s">
        <v>12</v>
      </c>
      <c r="F276" s="2" t="s">
        <v>13</v>
      </c>
      <c r="G276" s="2" t="s">
        <v>23</v>
      </c>
      <c r="H276" s="2" t="s">
        <v>15</v>
      </c>
      <c r="I276" s="2" t="n">
        <v>2</v>
      </c>
    </row>
    <row r="277" customFormat="false" ht="15" hidden="false" customHeight="false" outlineLevel="0" collapsed="false">
      <c r="A277" s="2" t="s">
        <v>693</v>
      </c>
      <c r="B277" s="2" t="s">
        <v>694</v>
      </c>
      <c r="C277" s="2" t="s">
        <v>692</v>
      </c>
      <c r="D277" s="2" t="n">
        <v>2025</v>
      </c>
      <c r="E277" s="2" t="s">
        <v>12</v>
      </c>
      <c r="F277" s="2" t="s">
        <v>26</v>
      </c>
      <c r="G277" s="2" t="s">
        <v>52</v>
      </c>
      <c r="H277" s="2" t="s">
        <v>28</v>
      </c>
      <c r="I277" s="2" t="n">
        <v>1</v>
      </c>
    </row>
    <row r="278" customFormat="false" ht="15" hidden="false" customHeight="false" outlineLevel="0" collapsed="false">
      <c r="A278" s="2" t="s">
        <v>695</v>
      </c>
      <c r="B278" s="2" t="s">
        <v>696</v>
      </c>
      <c r="C278" s="2" t="s">
        <v>692</v>
      </c>
      <c r="D278" s="2" t="n">
        <v>2025</v>
      </c>
      <c r="E278" s="2" t="s">
        <v>12</v>
      </c>
      <c r="F278" s="2" t="s">
        <v>18</v>
      </c>
      <c r="G278" s="2" t="s">
        <v>49</v>
      </c>
      <c r="H278" s="2" t="s">
        <v>20</v>
      </c>
      <c r="I278" s="2" t="n">
        <v>0</v>
      </c>
    </row>
    <row r="279" customFormat="false" ht="15" hidden="false" customHeight="false" outlineLevel="0" collapsed="false">
      <c r="A279" s="2" t="s">
        <v>697</v>
      </c>
      <c r="B279" s="2" t="s">
        <v>698</v>
      </c>
      <c r="C279" s="2" t="s">
        <v>699</v>
      </c>
      <c r="D279" s="2" t="n">
        <v>2025</v>
      </c>
      <c r="E279" s="2" t="s">
        <v>60</v>
      </c>
      <c r="F279" s="2" t="s">
        <v>314</v>
      </c>
      <c r="G279" s="2" t="s">
        <v>52</v>
      </c>
      <c r="H279" s="2" t="s">
        <v>700</v>
      </c>
      <c r="I279" s="2" t="n">
        <v>4</v>
      </c>
    </row>
    <row r="280" customFormat="false" ht="15" hidden="false" customHeight="false" outlineLevel="0" collapsed="false">
      <c r="A280" s="2" t="s">
        <v>701</v>
      </c>
      <c r="B280" s="2" t="s">
        <v>702</v>
      </c>
      <c r="C280" s="2" t="s">
        <v>699</v>
      </c>
      <c r="D280" s="2" t="n">
        <v>2025</v>
      </c>
      <c r="E280" s="2" t="s">
        <v>12</v>
      </c>
      <c r="F280" s="2" t="s">
        <v>82</v>
      </c>
      <c r="G280" s="2" t="s">
        <v>23</v>
      </c>
      <c r="H280" s="2" t="s">
        <v>83</v>
      </c>
      <c r="I280" s="2" t="n">
        <v>0</v>
      </c>
    </row>
    <row r="281" customFormat="false" ht="15" hidden="false" customHeight="false" outlineLevel="0" collapsed="false">
      <c r="A281" s="2" t="s">
        <v>703</v>
      </c>
      <c r="B281" s="2" t="s">
        <v>704</v>
      </c>
      <c r="C281" s="2" t="s">
        <v>699</v>
      </c>
      <c r="D281" s="2" t="n">
        <v>2025</v>
      </c>
      <c r="E281" s="2" t="s">
        <v>12</v>
      </c>
      <c r="F281" s="2" t="s">
        <v>55</v>
      </c>
      <c r="G281" s="2" t="s">
        <v>19</v>
      </c>
      <c r="H281" s="2" t="s">
        <v>56</v>
      </c>
      <c r="I281" s="2" t="n">
        <v>0</v>
      </c>
    </row>
    <row r="282" customFormat="false" ht="15" hidden="false" customHeight="false" outlineLevel="0" collapsed="false">
      <c r="A282" s="2" t="s">
        <v>705</v>
      </c>
      <c r="B282" s="2" t="s">
        <v>706</v>
      </c>
      <c r="C282" s="2" t="s">
        <v>699</v>
      </c>
      <c r="D282" s="2" t="n">
        <v>2025</v>
      </c>
      <c r="E282" s="2" t="s">
        <v>12</v>
      </c>
      <c r="F282" s="2" t="s">
        <v>18</v>
      </c>
      <c r="G282" s="2" t="s">
        <v>37</v>
      </c>
      <c r="H282" s="2" t="s">
        <v>20</v>
      </c>
      <c r="I282" s="2" t="n">
        <v>1</v>
      </c>
    </row>
    <row r="283" customFormat="false" ht="15" hidden="false" customHeight="false" outlineLevel="0" collapsed="false">
      <c r="A283" s="2" t="s">
        <v>707</v>
      </c>
      <c r="B283" s="2" t="s">
        <v>708</v>
      </c>
      <c r="C283" s="2" t="s">
        <v>709</v>
      </c>
      <c r="D283" s="2" t="n">
        <v>2025</v>
      </c>
      <c r="E283" s="2" t="s">
        <v>710</v>
      </c>
      <c r="F283" s="2" t="s">
        <v>155</v>
      </c>
      <c r="G283" s="2" t="s">
        <v>19</v>
      </c>
      <c r="H283" s="2" t="s">
        <v>711</v>
      </c>
      <c r="I283" s="2" t="n">
        <v>0</v>
      </c>
    </row>
    <row r="284" customFormat="false" ht="15" hidden="false" customHeight="false" outlineLevel="0" collapsed="false">
      <c r="A284" s="2" t="s">
        <v>712</v>
      </c>
      <c r="B284" s="2" t="s">
        <v>713</v>
      </c>
      <c r="C284" s="2" t="s">
        <v>714</v>
      </c>
      <c r="D284" s="2" t="n">
        <v>2025</v>
      </c>
      <c r="E284" s="2" t="s">
        <v>12</v>
      </c>
      <c r="F284" s="2" t="s">
        <v>26</v>
      </c>
      <c r="G284" s="2" t="s">
        <v>49</v>
      </c>
      <c r="H284" s="2" t="s">
        <v>28</v>
      </c>
      <c r="I284" s="2" t="n">
        <v>3</v>
      </c>
    </row>
    <row r="285" customFormat="false" ht="15" hidden="false" customHeight="false" outlineLevel="0" collapsed="false">
      <c r="A285" s="2" t="s">
        <v>715</v>
      </c>
      <c r="B285" s="2" t="s">
        <v>716</v>
      </c>
      <c r="C285" s="2" t="s">
        <v>714</v>
      </c>
      <c r="D285" s="2" t="n">
        <v>2025</v>
      </c>
      <c r="E285" s="2" t="s">
        <v>12</v>
      </c>
      <c r="F285" s="2" t="s">
        <v>64</v>
      </c>
      <c r="G285" s="2" t="s">
        <v>27</v>
      </c>
      <c r="H285" s="2" t="s">
        <v>174</v>
      </c>
      <c r="I285" s="2" t="n">
        <v>0</v>
      </c>
    </row>
    <row r="286" customFormat="false" ht="15" hidden="false" customHeight="false" outlineLevel="0" collapsed="false">
      <c r="A286" s="2" t="s">
        <v>717</v>
      </c>
      <c r="B286" s="2" t="s">
        <v>718</v>
      </c>
      <c r="C286" s="2" t="s">
        <v>714</v>
      </c>
      <c r="D286" s="2" t="n">
        <v>2025</v>
      </c>
      <c r="E286" s="2" t="s">
        <v>12</v>
      </c>
      <c r="F286" s="2" t="s">
        <v>13</v>
      </c>
      <c r="G286" s="2" t="s">
        <v>52</v>
      </c>
      <c r="H286" s="2" t="s">
        <v>548</v>
      </c>
      <c r="I286" s="2" t="n">
        <v>0</v>
      </c>
    </row>
    <row r="287" customFormat="false" ht="15" hidden="false" customHeight="false" outlineLevel="0" collapsed="false">
      <c r="A287" s="2" t="s">
        <v>719</v>
      </c>
      <c r="B287" s="2" t="s">
        <v>720</v>
      </c>
      <c r="C287" s="2" t="s">
        <v>714</v>
      </c>
      <c r="D287" s="2" t="n">
        <v>2025</v>
      </c>
      <c r="E287" s="2" t="s">
        <v>12</v>
      </c>
      <c r="F287" s="2" t="s">
        <v>13</v>
      </c>
      <c r="G287" s="2" t="s">
        <v>37</v>
      </c>
      <c r="H287" s="2" t="s">
        <v>15</v>
      </c>
      <c r="I287" s="2" t="n">
        <v>1</v>
      </c>
    </row>
    <row r="288" customFormat="false" ht="15" hidden="false" customHeight="false" outlineLevel="0" collapsed="false">
      <c r="A288" s="2" t="s">
        <v>721</v>
      </c>
      <c r="B288" s="2" t="s">
        <v>722</v>
      </c>
      <c r="C288" s="2" t="s">
        <v>714</v>
      </c>
      <c r="D288" s="2" t="n">
        <v>2025</v>
      </c>
      <c r="E288" s="2" t="s">
        <v>12</v>
      </c>
      <c r="F288" s="2" t="s">
        <v>55</v>
      </c>
      <c r="G288" s="2" t="s">
        <v>27</v>
      </c>
      <c r="H288" s="2" t="s">
        <v>56</v>
      </c>
      <c r="I288" s="2" t="n">
        <v>0</v>
      </c>
    </row>
    <row r="289" customFormat="false" ht="15" hidden="false" customHeight="false" outlineLevel="0" collapsed="false">
      <c r="A289" s="2" t="s">
        <v>723</v>
      </c>
      <c r="B289" s="2" t="s">
        <v>724</v>
      </c>
      <c r="C289" s="2" t="s">
        <v>725</v>
      </c>
      <c r="D289" s="2" t="n">
        <v>2025</v>
      </c>
      <c r="E289" s="2" t="s">
        <v>726</v>
      </c>
      <c r="F289" s="2" t="s">
        <v>146</v>
      </c>
      <c r="G289" s="2" t="s">
        <v>49</v>
      </c>
      <c r="H289" s="2" t="s">
        <v>147</v>
      </c>
      <c r="I289" s="2" t="n">
        <v>0</v>
      </c>
    </row>
    <row r="290" customFormat="false" ht="15" hidden="false" customHeight="false" outlineLevel="0" collapsed="false">
      <c r="A290" s="2" t="s">
        <v>727</v>
      </c>
      <c r="B290" s="2" t="s">
        <v>728</v>
      </c>
      <c r="C290" s="2" t="s">
        <v>729</v>
      </c>
      <c r="D290" s="2" t="n">
        <v>2025</v>
      </c>
      <c r="E290" s="2" t="s">
        <v>710</v>
      </c>
      <c r="F290" s="2" t="s">
        <v>155</v>
      </c>
      <c r="G290" s="2" t="s">
        <v>37</v>
      </c>
      <c r="H290" s="2" t="s">
        <v>711</v>
      </c>
      <c r="I290" s="2" t="n">
        <v>0</v>
      </c>
    </row>
    <row r="291" customFormat="false" ht="15" hidden="false" customHeight="false" outlineLevel="0" collapsed="false">
      <c r="A291" s="2" t="s">
        <v>730</v>
      </c>
      <c r="B291" s="2" t="s">
        <v>731</v>
      </c>
      <c r="C291" s="2" t="s">
        <v>729</v>
      </c>
      <c r="D291" s="2" t="n">
        <v>2025</v>
      </c>
      <c r="E291" s="2" t="s">
        <v>12</v>
      </c>
      <c r="F291" s="2" t="s">
        <v>26</v>
      </c>
      <c r="G291" s="2" t="s">
        <v>37</v>
      </c>
      <c r="H291" s="2" t="s">
        <v>28</v>
      </c>
      <c r="I291" s="2" t="n">
        <v>1</v>
      </c>
    </row>
    <row r="292" customFormat="false" ht="15" hidden="false" customHeight="false" outlineLevel="0" collapsed="false">
      <c r="A292" s="2" t="s">
        <v>732</v>
      </c>
      <c r="B292" s="2" t="s">
        <v>733</v>
      </c>
      <c r="C292" s="2" t="s">
        <v>729</v>
      </c>
      <c r="D292" s="2" t="n">
        <v>2025</v>
      </c>
      <c r="E292" s="2" t="s">
        <v>12</v>
      </c>
      <c r="F292" s="2" t="s">
        <v>82</v>
      </c>
      <c r="G292" s="2" t="s">
        <v>23</v>
      </c>
      <c r="H292" s="2" t="s">
        <v>83</v>
      </c>
      <c r="I292" s="2" t="n">
        <v>0</v>
      </c>
    </row>
    <row r="293" customFormat="false" ht="15" hidden="false" customHeight="false" outlineLevel="0" collapsed="false">
      <c r="A293" s="2" t="s">
        <v>734</v>
      </c>
      <c r="B293" s="2" t="s">
        <v>735</v>
      </c>
      <c r="C293" s="2" t="s">
        <v>736</v>
      </c>
      <c r="D293" s="2" t="n">
        <v>2025</v>
      </c>
      <c r="E293" s="2" t="s">
        <v>40</v>
      </c>
      <c r="F293" s="2" t="s">
        <v>13</v>
      </c>
      <c r="G293" s="2" t="s">
        <v>73</v>
      </c>
      <c r="H293" s="2" t="s">
        <v>15</v>
      </c>
      <c r="I293" s="2" t="n">
        <v>0</v>
      </c>
    </row>
    <row r="294" customFormat="false" ht="15" hidden="false" customHeight="false" outlineLevel="0" collapsed="false">
      <c r="A294" s="2" t="s">
        <v>737</v>
      </c>
      <c r="B294" s="2" t="s">
        <v>738</v>
      </c>
      <c r="C294" s="2" t="s">
        <v>739</v>
      </c>
      <c r="D294" s="2" t="n">
        <v>2025</v>
      </c>
      <c r="E294" s="2" t="s">
        <v>46</v>
      </c>
      <c r="F294" s="2" t="s">
        <v>82</v>
      </c>
      <c r="G294" s="2" t="s">
        <v>34</v>
      </c>
      <c r="H294" s="2" t="s">
        <v>83</v>
      </c>
      <c r="I294" s="2" t="n">
        <v>0</v>
      </c>
    </row>
    <row r="295" customFormat="false" ht="15" hidden="false" customHeight="false" outlineLevel="0" collapsed="false">
      <c r="A295" s="2" t="s">
        <v>740</v>
      </c>
      <c r="B295" s="2" t="s">
        <v>741</v>
      </c>
      <c r="C295" s="2" t="s">
        <v>739</v>
      </c>
      <c r="D295" s="2" t="n">
        <v>2025</v>
      </c>
      <c r="E295" s="2" t="s">
        <v>46</v>
      </c>
      <c r="F295" s="2" t="s">
        <v>26</v>
      </c>
      <c r="G295" s="2" t="s">
        <v>27</v>
      </c>
      <c r="H295" s="2" t="s">
        <v>28</v>
      </c>
      <c r="I295" s="2" t="n">
        <v>0</v>
      </c>
    </row>
    <row r="296" customFormat="false" ht="15" hidden="false" customHeight="false" outlineLevel="0" collapsed="false">
      <c r="A296" s="2" t="s">
        <v>742</v>
      </c>
      <c r="B296" s="2" t="s">
        <v>743</v>
      </c>
      <c r="C296" s="2" t="s">
        <v>744</v>
      </c>
      <c r="D296" s="2" t="n">
        <v>2025</v>
      </c>
      <c r="E296" s="2" t="s">
        <v>12</v>
      </c>
      <c r="F296" s="2" t="s">
        <v>82</v>
      </c>
      <c r="G296" s="2" t="s">
        <v>37</v>
      </c>
      <c r="H296" s="2" t="s">
        <v>83</v>
      </c>
      <c r="I296" s="2" t="n">
        <v>0</v>
      </c>
    </row>
    <row r="297" customFormat="false" ht="15" hidden="false" customHeight="false" outlineLevel="0" collapsed="false">
      <c r="A297" s="2" t="s">
        <v>745</v>
      </c>
      <c r="B297" s="2" t="s">
        <v>746</v>
      </c>
      <c r="C297" s="2" t="s">
        <v>744</v>
      </c>
      <c r="D297" s="2" t="n">
        <v>2025</v>
      </c>
      <c r="E297" s="2" t="s">
        <v>12</v>
      </c>
      <c r="F297" s="2" t="s">
        <v>146</v>
      </c>
      <c r="G297" s="2" t="s">
        <v>34</v>
      </c>
      <c r="H297" s="2" t="s">
        <v>147</v>
      </c>
      <c r="I297" s="2" t="n">
        <v>0</v>
      </c>
    </row>
    <row r="298" customFormat="false" ht="15" hidden="false" customHeight="false" outlineLevel="0" collapsed="false">
      <c r="A298" s="2" t="s">
        <v>747</v>
      </c>
      <c r="B298" s="2" t="s">
        <v>748</v>
      </c>
      <c r="C298" s="2" t="s">
        <v>749</v>
      </c>
      <c r="D298" s="2" t="n">
        <v>2025</v>
      </c>
      <c r="E298" s="2" t="s">
        <v>710</v>
      </c>
      <c r="F298" s="2" t="s">
        <v>26</v>
      </c>
      <c r="G298" s="2" t="s">
        <v>107</v>
      </c>
      <c r="H298" s="2" t="s">
        <v>28</v>
      </c>
      <c r="I298" s="2" t="n">
        <v>0</v>
      </c>
    </row>
    <row r="299" customFormat="false" ht="15" hidden="false" customHeight="false" outlineLevel="0" collapsed="false">
      <c r="A299" s="2" t="s">
        <v>750</v>
      </c>
      <c r="B299" s="2" t="s">
        <v>751</v>
      </c>
      <c r="C299" s="2" t="s">
        <v>752</v>
      </c>
      <c r="D299" s="2" t="n">
        <v>2025</v>
      </c>
      <c r="E299" s="2" t="s">
        <v>12</v>
      </c>
      <c r="F299" s="2" t="s">
        <v>26</v>
      </c>
      <c r="G299" s="2" t="s">
        <v>14</v>
      </c>
      <c r="H299" s="2" t="s">
        <v>28</v>
      </c>
      <c r="I299" s="2" t="n">
        <v>2</v>
      </c>
    </row>
    <row r="300" customFormat="false" ht="15" hidden="false" customHeight="false" outlineLevel="0" collapsed="false">
      <c r="A300" s="2" t="s">
        <v>753</v>
      </c>
      <c r="B300" s="2" t="s">
        <v>754</v>
      </c>
      <c r="C300" s="2" t="s">
        <v>752</v>
      </c>
      <c r="D300" s="2" t="n">
        <v>2025</v>
      </c>
      <c r="E300" s="2" t="s">
        <v>12</v>
      </c>
      <c r="F300" s="2" t="s">
        <v>26</v>
      </c>
      <c r="G300" s="2" t="s">
        <v>52</v>
      </c>
      <c r="H300" s="2" t="s">
        <v>28</v>
      </c>
      <c r="I300" s="2" t="n">
        <v>3</v>
      </c>
    </row>
    <row r="301" customFormat="false" ht="15" hidden="false" customHeight="false" outlineLevel="0" collapsed="false">
      <c r="A301" s="2" t="s">
        <v>755</v>
      </c>
      <c r="B301" s="2" t="s">
        <v>756</v>
      </c>
      <c r="C301" s="2" t="s">
        <v>752</v>
      </c>
      <c r="D301" s="2" t="n">
        <v>2025</v>
      </c>
      <c r="E301" s="2" t="s">
        <v>12</v>
      </c>
      <c r="F301" s="2" t="s">
        <v>13</v>
      </c>
      <c r="G301" s="2" t="s">
        <v>73</v>
      </c>
      <c r="H301" s="2" t="s">
        <v>15</v>
      </c>
      <c r="I301" s="2" t="n">
        <v>2</v>
      </c>
    </row>
    <row r="302" customFormat="false" ht="15" hidden="false" customHeight="false" outlineLevel="0" collapsed="false">
      <c r="A302" s="2" t="s">
        <v>757</v>
      </c>
      <c r="B302" s="2" t="s">
        <v>758</v>
      </c>
      <c r="C302" s="2" t="s">
        <v>752</v>
      </c>
      <c r="D302" s="2" t="n">
        <v>2025</v>
      </c>
      <c r="E302" s="2" t="s">
        <v>12</v>
      </c>
      <c r="F302" s="2" t="s">
        <v>26</v>
      </c>
      <c r="G302" s="2" t="s">
        <v>52</v>
      </c>
      <c r="H302" s="2" t="s">
        <v>28</v>
      </c>
      <c r="I302" s="2" t="n">
        <v>0</v>
      </c>
    </row>
    <row r="303" customFormat="false" ht="15" hidden="false" customHeight="false" outlineLevel="0" collapsed="false">
      <c r="A303" s="2" t="s">
        <v>759</v>
      </c>
      <c r="B303" s="2" t="s">
        <v>760</v>
      </c>
      <c r="C303" s="2" t="s">
        <v>752</v>
      </c>
      <c r="D303" s="2" t="n">
        <v>2025</v>
      </c>
      <c r="E303" s="2" t="s">
        <v>12</v>
      </c>
      <c r="F303" s="2" t="s">
        <v>64</v>
      </c>
      <c r="G303" s="2" t="s">
        <v>23</v>
      </c>
      <c r="H303" s="2" t="s">
        <v>65</v>
      </c>
      <c r="I303" s="2" t="n">
        <v>0</v>
      </c>
    </row>
    <row r="304" customFormat="false" ht="15" hidden="false" customHeight="false" outlineLevel="0" collapsed="false">
      <c r="A304" s="2" t="s">
        <v>761</v>
      </c>
      <c r="B304" s="2" t="s">
        <v>762</v>
      </c>
      <c r="C304" s="2" t="s">
        <v>763</v>
      </c>
      <c r="D304" s="2" t="n">
        <v>2025</v>
      </c>
      <c r="E304" s="2" t="s">
        <v>46</v>
      </c>
      <c r="F304" s="2" t="s">
        <v>26</v>
      </c>
      <c r="G304" s="2" t="s">
        <v>52</v>
      </c>
      <c r="H304" s="2" t="s">
        <v>28</v>
      </c>
      <c r="I304" s="2" t="n">
        <v>0</v>
      </c>
    </row>
    <row r="305" customFormat="false" ht="15" hidden="false" customHeight="false" outlineLevel="0" collapsed="false">
      <c r="A305" s="2" t="s">
        <v>764</v>
      </c>
      <c r="B305" s="2" t="s">
        <v>765</v>
      </c>
      <c r="C305" s="2" t="s">
        <v>763</v>
      </c>
      <c r="D305" s="2" t="n">
        <v>2025</v>
      </c>
      <c r="E305" s="2" t="s">
        <v>46</v>
      </c>
      <c r="F305" s="2" t="s">
        <v>26</v>
      </c>
      <c r="G305" s="2" t="s">
        <v>52</v>
      </c>
      <c r="H305" s="2" t="s">
        <v>28</v>
      </c>
      <c r="I305" s="2" t="n">
        <v>0</v>
      </c>
    </row>
    <row r="306" customFormat="false" ht="15" hidden="false" customHeight="false" outlineLevel="0" collapsed="false">
      <c r="A306" s="2" t="s">
        <v>766</v>
      </c>
      <c r="B306" s="2" t="s">
        <v>767</v>
      </c>
      <c r="C306" s="2" t="s">
        <v>768</v>
      </c>
      <c r="D306" s="2" t="n">
        <v>2025</v>
      </c>
      <c r="E306" s="2" t="s">
        <v>710</v>
      </c>
      <c r="F306" s="2" t="s">
        <v>155</v>
      </c>
      <c r="G306" s="2" t="s">
        <v>37</v>
      </c>
      <c r="H306" s="2" t="s">
        <v>711</v>
      </c>
      <c r="I306" s="2" t="n">
        <v>1</v>
      </c>
    </row>
    <row r="307" customFormat="false" ht="15" hidden="false" customHeight="false" outlineLevel="0" collapsed="false">
      <c r="A307" s="2" t="s">
        <v>769</v>
      </c>
      <c r="B307" s="2" t="s">
        <v>770</v>
      </c>
      <c r="C307" s="2" t="s">
        <v>771</v>
      </c>
      <c r="D307" s="2" t="n">
        <v>2025</v>
      </c>
      <c r="E307" s="2" t="s">
        <v>12</v>
      </c>
      <c r="F307" s="2" t="s">
        <v>64</v>
      </c>
      <c r="G307" s="2" t="s">
        <v>52</v>
      </c>
      <c r="H307" s="2" t="s">
        <v>65</v>
      </c>
      <c r="I307" s="2" t="n">
        <v>0</v>
      </c>
    </row>
    <row r="308" customFormat="false" ht="15" hidden="false" customHeight="false" outlineLevel="0" collapsed="false">
      <c r="A308" s="2" t="s">
        <v>772</v>
      </c>
      <c r="B308" s="2" t="s">
        <v>773</v>
      </c>
      <c r="C308" s="2" t="s">
        <v>771</v>
      </c>
      <c r="D308" s="2" t="n">
        <v>2025</v>
      </c>
      <c r="E308" s="2" t="s">
        <v>12</v>
      </c>
      <c r="F308" s="2" t="s">
        <v>13</v>
      </c>
      <c r="G308" s="2" t="s">
        <v>23</v>
      </c>
      <c r="H308" s="2" t="s">
        <v>15</v>
      </c>
      <c r="I308" s="2" t="n">
        <v>0</v>
      </c>
    </row>
    <row r="309" customFormat="false" ht="15" hidden="false" customHeight="false" outlineLevel="0" collapsed="false">
      <c r="A309" s="2" t="s">
        <v>774</v>
      </c>
      <c r="B309" s="2" t="s">
        <v>775</v>
      </c>
      <c r="C309" s="2" t="s">
        <v>771</v>
      </c>
      <c r="D309" s="2" t="n">
        <v>2025</v>
      </c>
      <c r="E309" s="2" t="s">
        <v>12</v>
      </c>
      <c r="F309" s="2" t="s">
        <v>18</v>
      </c>
      <c r="G309" s="2" t="s">
        <v>49</v>
      </c>
      <c r="H309" s="2" t="s">
        <v>20</v>
      </c>
      <c r="I309" s="2" t="n">
        <v>0</v>
      </c>
    </row>
    <row r="310" customFormat="false" ht="15" hidden="false" customHeight="false" outlineLevel="0" collapsed="false">
      <c r="A310" s="2" t="s">
        <v>776</v>
      </c>
      <c r="B310" s="2" t="s">
        <v>777</v>
      </c>
      <c r="C310" s="2" t="s">
        <v>778</v>
      </c>
      <c r="D310" s="2" t="n">
        <v>2025</v>
      </c>
      <c r="E310" s="2" t="s">
        <v>12</v>
      </c>
      <c r="F310" s="2" t="s">
        <v>13</v>
      </c>
      <c r="G310" s="2" t="s">
        <v>14</v>
      </c>
      <c r="H310" s="2" t="s">
        <v>15</v>
      </c>
      <c r="I310" s="2" t="n">
        <v>0</v>
      </c>
    </row>
    <row r="311" customFormat="false" ht="15" hidden="false" customHeight="false" outlineLevel="0" collapsed="false">
      <c r="A311" s="2" t="s">
        <v>779</v>
      </c>
      <c r="B311" s="2" t="s">
        <v>780</v>
      </c>
      <c r="C311" s="2" t="s">
        <v>781</v>
      </c>
      <c r="D311" s="2" t="n">
        <v>2025</v>
      </c>
      <c r="E311" s="2" t="s">
        <v>12</v>
      </c>
      <c r="F311" s="2" t="s">
        <v>55</v>
      </c>
      <c r="G311" s="2" t="s">
        <v>52</v>
      </c>
      <c r="H311" s="2" t="s">
        <v>56</v>
      </c>
      <c r="I311" s="2" t="n">
        <v>0</v>
      </c>
    </row>
    <row r="312" customFormat="false" ht="15" hidden="false" customHeight="false" outlineLevel="0" collapsed="false">
      <c r="A312" s="2" t="s">
        <v>782</v>
      </c>
      <c r="B312" s="2" t="s">
        <v>783</v>
      </c>
      <c r="C312" s="2" t="s">
        <v>781</v>
      </c>
      <c r="D312" s="2" t="n">
        <v>2025</v>
      </c>
      <c r="E312" s="2" t="s">
        <v>12</v>
      </c>
      <c r="F312" s="2" t="s">
        <v>64</v>
      </c>
      <c r="G312" s="2" t="s">
        <v>27</v>
      </c>
      <c r="H312" s="2" t="s">
        <v>65</v>
      </c>
      <c r="I312" s="2" t="n">
        <v>0</v>
      </c>
    </row>
    <row r="313" customFormat="false" ht="15" hidden="false" customHeight="false" outlineLevel="0" collapsed="false">
      <c r="A313" s="2" t="s">
        <v>784</v>
      </c>
      <c r="B313" s="2" t="s">
        <v>785</v>
      </c>
      <c r="C313" s="2" t="s">
        <v>781</v>
      </c>
      <c r="D313" s="2" t="n">
        <v>2025</v>
      </c>
      <c r="E313" s="2" t="s">
        <v>12</v>
      </c>
      <c r="F313" s="2" t="s">
        <v>13</v>
      </c>
      <c r="G313" s="2" t="s">
        <v>14</v>
      </c>
      <c r="H313" s="2" t="s">
        <v>15</v>
      </c>
      <c r="I313" s="2" t="n">
        <v>0</v>
      </c>
    </row>
    <row r="314" customFormat="false" ht="15" hidden="false" customHeight="false" outlineLevel="0" collapsed="false">
      <c r="A314" s="2" t="s">
        <v>786</v>
      </c>
      <c r="B314" s="2" t="s">
        <v>787</v>
      </c>
      <c r="C314" s="2" t="s">
        <v>788</v>
      </c>
      <c r="D314" s="2" t="n">
        <v>2025</v>
      </c>
      <c r="E314" s="2" t="s">
        <v>12</v>
      </c>
      <c r="F314" s="2" t="s">
        <v>26</v>
      </c>
      <c r="G314" s="2" t="s">
        <v>52</v>
      </c>
      <c r="H314" s="2" t="s">
        <v>28</v>
      </c>
      <c r="I314" s="2" t="n">
        <v>0</v>
      </c>
    </row>
    <row r="315" customFormat="false" ht="15" hidden="false" customHeight="false" outlineLevel="0" collapsed="false">
      <c r="A315" s="2" t="s">
        <v>789</v>
      </c>
      <c r="B315" s="2" t="s">
        <v>790</v>
      </c>
      <c r="C315" s="2" t="s">
        <v>788</v>
      </c>
      <c r="D315" s="2" t="n">
        <v>2025</v>
      </c>
      <c r="E315" s="2" t="s">
        <v>12</v>
      </c>
      <c r="F315" s="2" t="s">
        <v>26</v>
      </c>
      <c r="G315" s="2" t="s">
        <v>14</v>
      </c>
      <c r="H315" s="2" t="s">
        <v>28</v>
      </c>
      <c r="I315" s="2" t="n">
        <v>0</v>
      </c>
    </row>
    <row r="316" customFormat="false" ht="15" hidden="false" customHeight="false" outlineLevel="0" collapsed="false">
      <c r="A316" s="2" t="s">
        <v>791</v>
      </c>
      <c r="B316" s="2" t="s">
        <v>792</v>
      </c>
      <c r="C316" s="2" t="s">
        <v>788</v>
      </c>
      <c r="D316" s="2" t="n">
        <v>2025</v>
      </c>
      <c r="E316" s="2" t="s">
        <v>12</v>
      </c>
      <c r="F316" s="2" t="s">
        <v>13</v>
      </c>
      <c r="G316" s="2" t="s">
        <v>23</v>
      </c>
      <c r="H316" s="2" t="s">
        <v>15</v>
      </c>
      <c r="I316" s="2" t="n">
        <v>0</v>
      </c>
    </row>
    <row r="317" customFormat="false" ht="15" hidden="false" customHeight="false" outlineLevel="0" collapsed="false">
      <c r="A317" s="2" t="s">
        <v>793</v>
      </c>
      <c r="B317" s="2" t="s">
        <v>794</v>
      </c>
      <c r="C317" s="2" t="s">
        <v>788</v>
      </c>
      <c r="D317" s="2" t="n">
        <v>2025</v>
      </c>
      <c r="E317" s="2" t="s">
        <v>12</v>
      </c>
      <c r="F317" s="2" t="s">
        <v>82</v>
      </c>
      <c r="G317" s="2" t="s">
        <v>107</v>
      </c>
      <c r="H317" s="2" t="s">
        <v>83</v>
      </c>
      <c r="I317" s="2" t="n">
        <v>0</v>
      </c>
    </row>
    <row r="318" customFormat="false" ht="15" hidden="false" customHeight="false" outlineLevel="0" collapsed="false">
      <c r="A318" s="2" t="s">
        <v>795</v>
      </c>
      <c r="B318" s="2" t="s">
        <v>796</v>
      </c>
      <c r="C318" s="2" t="s">
        <v>797</v>
      </c>
      <c r="D318" s="2" t="n">
        <v>2025</v>
      </c>
      <c r="E318" s="2" t="s">
        <v>12</v>
      </c>
      <c r="F318" s="2" t="s">
        <v>26</v>
      </c>
      <c r="G318" s="2" t="s">
        <v>37</v>
      </c>
      <c r="H318" s="2" t="s">
        <v>28</v>
      </c>
      <c r="I318" s="2" t="n">
        <v>1</v>
      </c>
    </row>
    <row r="319" customFormat="false" ht="15" hidden="false" customHeight="false" outlineLevel="0" collapsed="false">
      <c r="A319" s="2" t="s">
        <v>798</v>
      </c>
      <c r="B319" s="2" t="s">
        <v>799</v>
      </c>
      <c r="C319" s="2" t="s">
        <v>797</v>
      </c>
      <c r="D319" s="2" t="n">
        <v>2025</v>
      </c>
      <c r="E319" s="2" t="s">
        <v>12</v>
      </c>
      <c r="F319" s="2" t="s">
        <v>82</v>
      </c>
      <c r="G319" s="2" t="s">
        <v>34</v>
      </c>
      <c r="H319" s="2" t="s">
        <v>83</v>
      </c>
      <c r="I319" s="2" t="n">
        <v>1</v>
      </c>
    </row>
    <row r="320" customFormat="false" ht="15" hidden="false" customHeight="false" outlineLevel="0" collapsed="false">
      <c r="A320" s="2" t="s">
        <v>800</v>
      </c>
      <c r="B320" s="2" t="s">
        <v>801</v>
      </c>
      <c r="C320" s="2" t="s">
        <v>797</v>
      </c>
      <c r="D320" s="2" t="n">
        <v>2025</v>
      </c>
      <c r="E320" s="2" t="s">
        <v>12</v>
      </c>
      <c r="F320" s="2" t="s">
        <v>64</v>
      </c>
      <c r="G320" s="2" t="s">
        <v>52</v>
      </c>
      <c r="H320" s="2" t="s">
        <v>65</v>
      </c>
      <c r="I320" s="2" t="n">
        <v>0</v>
      </c>
    </row>
    <row r="321" customFormat="false" ht="15" hidden="false" customHeight="false" outlineLevel="0" collapsed="false">
      <c r="A321" s="2" t="s">
        <v>802</v>
      </c>
      <c r="B321" s="2" t="s">
        <v>803</v>
      </c>
      <c r="C321" s="2" t="s">
        <v>804</v>
      </c>
      <c r="D321" s="2" t="n">
        <v>2025</v>
      </c>
      <c r="E321" s="2" t="s">
        <v>12</v>
      </c>
      <c r="F321" s="2" t="s">
        <v>26</v>
      </c>
      <c r="G321" s="2" t="s">
        <v>23</v>
      </c>
      <c r="H321" s="2" t="s">
        <v>28</v>
      </c>
      <c r="I321" s="2" t="n">
        <v>0</v>
      </c>
    </row>
    <row r="322" customFormat="false" ht="15" hidden="false" customHeight="false" outlineLevel="0" collapsed="false">
      <c r="A322" s="2" t="s">
        <v>805</v>
      </c>
      <c r="B322" s="2" t="s">
        <v>806</v>
      </c>
      <c r="C322" s="2" t="s">
        <v>807</v>
      </c>
      <c r="D322" s="2" t="n">
        <v>2025</v>
      </c>
      <c r="E322" s="2" t="s">
        <v>12</v>
      </c>
      <c r="F322" s="2" t="s">
        <v>146</v>
      </c>
      <c r="G322" s="2" t="s">
        <v>34</v>
      </c>
      <c r="H322" s="2" t="s">
        <v>147</v>
      </c>
      <c r="I322" s="2" t="n">
        <v>3</v>
      </c>
    </row>
    <row r="323" customFormat="false" ht="15" hidden="false" customHeight="false" outlineLevel="0" collapsed="false">
      <c r="A323" s="2" t="s">
        <v>808</v>
      </c>
      <c r="B323" s="2" t="s">
        <v>809</v>
      </c>
      <c r="C323" s="2" t="s">
        <v>807</v>
      </c>
      <c r="D323" s="2" t="n">
        <v>2025</v>
      </c>
      <c r="E323" s="2" t="s">
        <v>12</v>
      </c>
      <c r="F323" s="2" t="s">
        <v>26</v>
      </c>
      <c r="G323" s="2" t="s">
        <v>27</v>
      </c>
      <c r="H323" s="2" t="s">
        <v>28</v>
      </c>
      <c r="I323" s="2" t="n">
        <v>1</v>
      </c>
    </row>
    <row r="324" customFormat="false" ht="15" hidden="false" customHeight="false" outlineLevel="0" collapsed="false">
      <c r="A324" s="2" t="s">
        <v>810</v>
      </c>
      <c r="B324" s="2" t="s">
        <v>811</v>
      </c>
      <c r="C324" s="2" t="s">
        <v>807</v>
      </c>
      <c r="D324" s="2" t="n">
        <v>2025</v>
      </c>
      <c r="E324" s="2" t="s">
        <v>12</v>
      </c>
      <c r="F324" s="2" t="s">
        <v>26</v>
      </c>
      <c r="G324" s="2" t="s">
        <v>49</v>
      </c>
      <c r="H324" s="2" t="s">
        <v>28</v>
      </c>
      <c r="I324" s="2" t="n">
        <v>0</v>
      </c>
    </row>
    <row r="325" customFormat="false" ht="15" hidden="false" customHeight="false" outlineLevel="0" collapsed="false">
      <c r="A325" s="2" t="s">
        <v>812</v>
      </c>
      <c r="B325" s="2" t="s">
        <v>813</v>
      </c>
      <c r="C325" s="2" t="s">
        <v>807</v>
      </c>
      <c r="D325" s="2" t="n">
        <v>2025</v>
      </c>
      <c r="E325" s="2" t="s">
        <v>12</v>
      </c>
      <c r="F325" s="2" t="s">
        <v>82</v>
      </c>
      <c r="G325" s="2" t="s">
        <v>23</v>
      </c>
      <c r="H325" s="2" t="s">
        <v>83</v>
      </c>
      <c r="I325" s="2" t="n">
        <v>0</v>
      </c>
    </row>
    <row r="326" customFormat="false" ht="15" hidden="false" customHeight="false" outlineLevel="0" collapsed="false">
      <c r="A326" s="2" t="s">
        <v>814</v>
      </c>
      <c r="B326" s="2" t="s">
        <v>815</v>
      </c>
      <c r="C326" s="2" t="s">
        <v>807</v>
      </c>
      <c r="D326" s="2" t="n">
        <v>2025</v>
      </c>
      <c r="E326" s="2" t="s">
        <v>12</v>
      </c>
      <c r="F326" s="2" t="s">
        <v>64</v>
      </c>
      <c r="G326" s="2" t="s">
        <v>37</v>
      </c>
      <c r="H326" s="2" t="s">
        <v>65</v>
      </c>
      <c r="I326" s="2" t="n">
        <v>1</v>
      </c>
    </row>
    <row r="327" customFormat="false" ht="15" hidden="false" customHeight="false" outlineLevel="0" collapsed="false">
      <c r="A327" s="2" t="s">
        <v>816</v>
      </c>
      <c r="B327" s="2" t="s">
        <v>817</v>
      </c>
      <c r="C327" s="2" t="s">
        <v>807</v>
      </c>
      <c r="D327" s="2" t="n">
        <v>2025</v>
      </c>
      <c r="E327" s="2" t="s">
        <v>12</v>
      </c>
      <c r="F327" s="2" t="s">
        <v>18</v>
      </c>
      <c r="G327" s="2" t="s">
        <v>49</v>
      </c>
      <c r="H327" s="2" t="s">
        <v>20</v>
      </c>
      <c r="I327" s="2" t="n">
        <v>1</v>
      </c>
    </row>
    <row r="328" customFormat="false" ht="15" hidden="false" customHeight="false" outlineLevel="0" collapsed="false">
      <c r="A328" s="2" t="s">
        <v>818</v>
      </c>
      <c r="B328" s="2" t="s">
        <v>819</v>
      </c>
      <c r="C328" s="2" t="s">
        <v>807</v>
      </c>
      <c r="D328" s="2" t="n">
        <v>2025</v>
      </c>
      <c r="E328" s="2" t="s">
        <v>12</v>
      </c>
      <c r="F328" s="2" t="s">
        <v>72</v>
      </c>
      <c r="G328" s="2" t="s">
        <v>49</v>
      </c>
      <c r="H328" s="2" t="s">
        <v>74</v>
      </c>
      <c r="I328" s="2" t="n">
        <v>0</v>
      </c>
    </row>
    <row r="329" customFormat="false" ht="15" hidden="false" customHeight="false" outlineLevel="0" collapsed="false">
      <c r="A329" s="2" t="s">
        <v>820</v>
      </c>
      <c r="B329" s="2" t="s">
        <v>821</v>
      </c>
      <c r="C329" s="2" t="s">
        <v>807</v>
      </c>
      <c r="D329" s="2" t="n">
        <v>2025</v>
      </c>
      <c r="E329" s="2" t="s">
        <v>12</v>
      </c>
      <c r="F329" s="2" t="s">
        <v>64</v>
      </c>
      <c r="G329" s="2" t="s">
        <v>107</v>
      </c>
      <c r="H329" s="2" t="s">
        <v>65</v>
      </c>
      <c r="I329" s="2" t="n">
        <v>3</v>
      </c>
    </row>
    <row r="330" customFormat="false" ht="15" hidden="false" customHeight="false" outlineLevel="0" collapsed="false">
      <c r="A330" s="2" t="s">
        <v>822</v>
      </c>
      <c r="B330" s="2" t="s">
        <v>823</v>
      </c>
      <c r="C330" s="2" t="s">
        <v>807</v>
      </c>
      <c r="D330" s="2" t="n">
        <v>2025</v>
      </c>
      <c r="E330" s="2" t="s">
        <v>12</v>
      </c>
      <c r="F330" s="2" t="s">
        <v>64</v>
      </c>
      <c r="G330" s="2" t="s">
        <v>107</v>
      </c>
      <c r="H330" s="2" t="s">
        <v>65</v>
      </c>
      <c r="I330" s="2" t="n">
        <v>3</v>
      </c>
    </row>
    <row r="331" customFormat="false" ht="15" hidden="false" customHeight="false" outlineLevel="0" collapsed="false">
      <c r="A331" s="2" t="s">
        <v>824</v>
      </c>
      <c r="B331" s="2" t="s">
        <v>825</v>
      </c>
      <c r="C331" s="2" t="s">
        <v>807</v>
      </c>
      <c r="D331" s="2" t="n">
        <v>2025</v>
      </c>
      <c r="E331" s="2" t="s">
        <v>12</v>
      </c>
      <c r="F331" s="2" t="s">
        <v>13</v>
      </c>
      <c r="G331" s="2" t="s">
        <v>73</v>
      </c>
      <c r="H331" s="2" t="s">
        <v>15</v>
      </c>
      <c r="I331" s="2" t="n">
        <v>1</v>
      </c>
    </row>
    <row r="332" customFormat="false" ht="15" hidden="false" customHeight="false" outlineLevel="0" collapsed="false">
      <c r="A332" s="2" t="s">
        <v>826</v>
      </c>
      <c r="B332" s="2" t="s">
        <v>827</v>
      </c>
      <c r="C332" s="2" t="s">
        <v>807</v>
      </c>
      <c r="D332" s="2" t="n">
        <v>2025</v>
      </c>
      <c r="E332" s="2" t="s">
        <v>12</v>
      </c>
      <c r="F332" s="2" t="s">
        <v>64</v>
      </c>
      <c r="G332" s="2" t="s">
        <v>52</v>
      </c>
      <c r="H332" s="2" t="s">
        <v>65</v>
      </c>
      <c r="I332" s="2" t="n">
        <v>0</v>
      </c>
    </row>
    <row r="333" customFormat="false" ht="15" hidden="false" customHeight="false" outlineLevel="0" collapsed="false">
      <c r="A333" s="2" t="s">
        <v>828</v>
      </c>
      <c r="B333" s="2" t="s">
        <v>829</v>
      </c>
      <c r="C333" s="2" t="s">
        <v>830</v>
      </c>
      <c r="D333" s="2" t="n">
        <v>2025</v>
      </c>
      <c r="E333" s="2" t="s">
        <v>46</v>
      </c>
      <c r="F333" s="2" t="s">
        <v>82</v>
      </c>
      <c r="G333" s="2" t="s">
        <v>23</v>
      </c>
      <c r="H333" s="2" t="s">
        <v>83</v>
      </c>
      <c r="I333" s="2" t="n">
        <v>0</v>
      </c>
    </row>
    <row r="334" customFormat="false" ht="15" hidden="false" customHeight="false" outlineLevel="0" collapsed="false">
      <c r="A334" s="2" t="s">
        <v>831</v>
      </c>
      <c r="B334" s="2" t="s">
        <v>832</v>
      </c>
      <c r="C334" s="2" t="s">
        <v>833</v>
      </c>
      <c r="D334" s="2" t="n">
        <v>2025</v>
      </c>
      <c r="E334" s="2" t="s">
        <v>12</v>
      </c>
      <c r="F334" s="2" t="s">
        <v>13</v>
      </c>
      <c r="G334" s="2" t="s">
        <v>23</v>
      </c>
      <c r="H334" s="2" t="s">
        <v>15</v>
      </c>
      <c r="I334" s="2" t="n">
        <v>0</v>
      </c>
    </row>
    <row r="335" customFormat="false" ht="15" hidden="false" customHeight="false" outlineLevel="0" collapsed="false">
      <c r="A335" s="2" t="s">
        <v>834</v>
      </c>
      <c r="B335" s="2" t="s">
        <v>835</v>
      </c>
      <c r="C335" s="2" t="s">
        <v>836</v>
      </c>
      <c r="D335" s="2" t="n">
        <v>2025</v>
      </c>
      <c r="E335" s="2" t="s">
        <v>12</v>
      </c>
      <c r="F335" s="2" t="s">
        <v>13</v>
      </c>
      <c r="G335" s="2" t="s">
        <v>37</v>
      </c>
      <c r="H335" s="2" t="s">
        <v>15</v>
      </c>
      <c r="I335" s="2" t="n">
        <v>4</v>
      </c>
    </row>
    <row r="336" customFormat="false" ht="15" hidden="false" customHeight="false" outlineLevel="0" collapsed="false">
      <c r="A336" s="2" t="s">
        <v>837</v>
      </c>
      <c r="B336" s="2" t="s">
        <v>838</v>
      </c>
      <c r="C336" s="2" t="s">
        <v>836</v>
      </c>
      <c r="D336" s="2" t="n">
        <v>2025</v>
      </c>
      <c r="E336" s="2" t="s">
        <v>12</v>
      </c>
      <c r="F336" s="2" t="s">
        <v>13</v>
      </c>
      <c r="G336" s="2" t="s">
        <v>27</v>
      </c>
      <c r="H336" s="2" t="s">
        <v>15</v>
      </c>
      <c r="I336" s="2" t="n">
        <v>1</v>
      </c>
    </row>
    <row r="337" customFormat="false" ht="15" hidden="false" customHeight="false" outlineLevel="0" collapsed="false">
      <c r="A337" s="2" t="s">
        <v>839</v>
      </c>
      <c r="B337" s="2" t="s">
        <v>840</v>
      </c>
      <c r="C337" s="2" t="s">
        <v>836</v>
      </c>
      <c r="D337" s="2" t="n">
        <v>2025</v>
      </c>
      <c r="E337" s="2" t="s">
        <v>12</v>
      </c>
      <c r="F337" s="2" t="s">
        <v>26</v>
      </c>
      <c r="G337" s="2" t="s">
        <v>14</v>
      </c>
      <c r="H337" s="2" t="s">
        <v>28</v>
      </c>
      <c r="I337" s="2" t="n">
        <v>0</v>
      </c>
    </row>
    <row r="338" customFormat="false" ht="15" hidden="false" customHeight="false" outlineLevel="0" collapsed="false">
      <c r="A338" s="2" t="s">
        <v>841</v>
      </c>
      <c r="B338" s="2" t="s">
        <v>842</v>
      </c>
      <c r="C338" s="2" t="s">
        <v>836</v>
      </c>
      <c r="D338" s="2" t="n">
        <v>2025</v>
      </c>
      <c r="E338" s="2" t="s">
        <v>12</v>
      </c>
      <c r="F338" s="2" t="s">
        <v>146</v>
      </c>
      <c r="G338" s="2" t="s">
        <v>14</v>
      </c>
      <c r="H338" s="2" t="s">
        <v>147</v>
      </c>
      <c r="I338" s="2" t="n">
        <v>2</v>
      </c>
    </row>
    <row r="339" customFormat="false" ht="15" hidden="false" customHeight="false" outlineLevel="0" collapsed="false">
      <c r="A339" s="2" t="s">
        <v>843</v>
      </c>
      <c r="B339" s="2" t="s">
        <v>844</v>
      </c>
      <c r="C339" s="2" t="s">
        <v>845</v>
      </c>
      <c r="D339" s="2" t="n">
        <v>2025</v>
      </c>
      <c r="E339" s="2" t="s">
        <v>12</v>
      </c>
      <c r="F339" s="2" t="s">
        <v>64</v>
      </c>
      <c r="G339" s="2" t="s">
        <v>37</v>
      </c>
      <c r="H339" s="2" t="s">
        <v>65</v>
      </c>
      <c r="I339" s="2" t="n">
        <v>2</v>
      </c>
    </row>
    <row r="340" customFormat="false" ht="15" hidden="false" customHeight="false" outlineLevel="0" collapsed="false">
      <c r="A340" s="2" t="s">
        <v>846</v>
      </c>
      <c r="B340" s="2" t="s">
        <v>847</v>
      </c>
      <c r="C340" s="2" t="s">
        <v>845</v>
      </c>
      <c r="D340" s="2" t="n">
        <v>2025</v>
      </c>
      <c r="E340" s="2" t="s">
        <v>12</v>
      </c>
      <c r="F340" s="2" t="s">
        <v>13</v>
      </c>
      <c r="G340" s="2" t="s">
        <v>23</v>
      </c>
      <c r="H340" s="2" t="s">
        <v>15</v>
      </c>
      <c r="I340" s="2" t="n">
        <v>0</v>
      </c>
    </row>
    <row r="341" customFormat="false" ht="15" hidden="false" customHeight="false" outlineLevel="0" collapsed="false">
      <c r="A341" s="2" t="s">
        <v>848</v>
      </c>
      <c r="B341" s="2" t="s">
        <v>849</v>
      </c>
      <c r="C341" s="2" t="s">
        <v>845</v>
      </c>
      <c r="D341" s="2" t="n">
        <v>2025</v>
      </c>
      <c r="E341" s="2" t="s">
        <v>12</v>
      </c>
      <c r="F341" s="2" t="s">
        <v>64</v>
      </c>
      <c r="G341" s="2" t="s">
        <v>37</v>
      </c>
      <c r="H341" s="2" t="s">
        <v>65</v>
      </c>
      <c r="I341" s="2" t="n">
        <v>1</v>
      </c>
    </row>
    <row r="342" customFormat="false" ht="15" hidden="false" customHeight="false" outlineLevel="0" collapsed="false">
      <c r="A342" s="2" t="s">
        <v>850</v>
      </c>
      <c r="B342" s="2" t="s">
        <v>851</v>
      </c>
      <c r="C342" s="2" t="s">
        <v>852</v>
      </c>
      <c r="D342" s="2" t="n">
        <v>2025</v>
      </c>
      <c r="E342" s="2" t="s">
        <v>12</v>
      </c>
      <c r="F342" s="2" t="s">
        <v>64</v>
      </c>
      <c r="G342" s="2" t="s">
        <v>107</v>
      </c>
      <c r="H342" s="2" t="s">
        <v>65</v>
      </c>
      <c r="I342" s="2" t="n">
        <v>0</v>
      </c>
    </row>
    <row r="343" customFormat="false" ht="15" hidden="false" customHeight="false" outlineLevel="0" collapsed="false">
      <c r="A343" s="2" t="s">
        <v>853</v>
      </c>
      <c r="B343" s="2" t="s">
        <v>854</v>
      </c>
      <c r="C343" s="2" t="s">
        <v>855</v>
      </c>
      <c r="D343" s="2" t="n">
        <v>2025</v>
      </c>
      <c r="E343" s="2" t="s">
        <v>40</v>
      </c>
      <c r="F343" s="2" t="s">
        <v>64</v>
      </c>
      <c r="G343" s="2" t="s">
        <v>27</v>
      </c>
      <c r="H343" s="2" t="s">
        <v>65</v>
      </c>
      <c r="I343" s="2" t="n">
        <v>0</v>
      </c>
    </row>
    <row r="344" customFormat="false" ht="15" hidden="false" customHeight="false" outlineLevel="0" collapsed="false">
      <c r="A344" s="2" t="s">
        <v>856</v>
      </c>
      <c r="B344" s="2" t="s">
        <v>857</v>
      </c>
      <c r="C344" s="2" t="s">
        <v>858</v>
      </c>
      <c r="D344" s="2" t="n">
        <v>2025</v>
      </c>
      <c r="E344" s="2" t="s">
        <v>12</v>
      </c>
      <c r="F344" s="2" t="s">
        <v>13</v>
      </c>
      <c r="G344" s="2" t="s">
        <v>37</v>
      </c>
      <c r="H344" s="2" t="s">
        <v>15</v>
      </c>
      <c r="I344" s="2" t="n">
        <v>5</v>
      </c>
    </row>
    <row r="345" customFormat="false" ht="15" hidden="false" customHeight="false" outlineLevel="0" collapsed="false">
      <c r="A345" s="2" t="s">
        <v>859</v>
      </c>
      <c r="B345" s="2" t="s">
        <v>860</v>
      </c>
      <c r="C345" s="2" t="s">
        <v>858</v>
      </c>
      <c r="D345" s="2" t="n">
        <v>2025</v>
      </c>
      <c r="E345" s="2" t="s">
        <v>12</v>
      </c>
      <c r="F345" s="2" t="s">
        <v>146</v>
      </c>
      <c r="G345" s="2" t="s">
        <v>27</v>
      </c>
      <c r="H345" s="2" t="s">
        <v>147</v>
      </c>
      <c r="I345" s="2" t="n">
        <v>0</v>
      </c>
    </row>
    <row r="346" customFormat="false" ht="15" hidden="false" customHeight="false" outlineLevel="0" collapsed="false">
      <c r="A346" s="2" t="s">
        <v>861</v>
      </c>
      <c r="B346" s="2" t="s">
        <v>862</v>
      </c>
      <c r="C346" s="2" t="s">
        <v>858</v>
      </c>
      <c r="D346" s="2" t="n">
        <v>2025</v>
      </c>
      <c r="E346" s="2" t="s">
        <v>710</v>
      </c>
      <c r="F346" s="2" t="s">
        <v>155</v>
      </c>
      <c r="G346" s="2" t="s">
        <v>49</v>
      </c>
      <c r="H346" s="2" t="s">
        <v>156</v>
      </c>
      <c r="I346" s="2" t="n">
        <v>0</v>
      </c>
    </row>
    <row r="347" customFormat="false" ht="15" hidden="false" customHeight="false" outlineLevel="0" collapsed="false">
      <c r="A347" s="2" t="s">
        <v>863</v>
      </c>
      <c r="B347" s="2" t="s">
        <v>864</v>
      </c>
      <c r="C347" s="2" t="s">
        <v>865</v>
      </c>
      <c r="D347" s="2" t="n">
        <v>2025</v>
      </c>
      <c r="E347" s="2" t="s">
        <v>46</v>
      </c>
      <c r="F347" s="2" t="s">
        <v>26</v>
      </c>
      <c r="G347" s="2" t="s">
        <v>19</v>
      </c>
      <c r="H347" s="2" t="s">
        <v>28</v>
      </c>
      <c r="I347" s="2" t="n">
        <v>1</v>
      </c>
    </row>
    <row r="348" customFormat="false" ht="15" hidden="false" customHeight="false" outlineLevel="0" collapsed="false">
      <c r="A348" s="2" t="s">
        <v>866</v>
      </c>
      <c r="B348" s="2" t="s">
        <v>867</v>
      </c>
      <c r="C348" s="2" t="s">
        <v>868</v>
      </c>
      <c r="D348" s="2" t="n">
        <v>2025</v>
      </c>
      <c r="E348" s="2" t="s">
        <v>12</v>
      </c>
      <c r="F348" s="2" t="s">
        <v>64</v>
      </c>
      <c r="G348" s="2" t="s">
        <v>52</v>
      </c>
      <c r="H348" s="2" t="s">
        <v>65</v>
      </c>
      <c r="I348" s="2" t="n">
        <v>3</v>
      </c>
    </row>
    <row r="349" customFormat="false" ht="15" hidden="false" customHeight="false" outlineLevel="0" collapsed="false">
      <c r="A349" s="2" t="s">
        <v>869</v>
      </c>
      <c r="B349" s="2" t="s">
        <v>870</v>
      </c>
      <c r="C349" s="2" t="s">
        <v>871</v>
      </c>
      <c r="D349" s="2" t="n">
        <v>2025</v>
      </c>
      <c r="E349" s="2" t="s">
        <v>12</v>
      </c>
      <c r="F349" s="2" t="s">
        <v>13</v>
      </c>
      <c r="G349" s="2" t="s">
        <v>107</v>
      </c>
      <c r="H349" s="2" t="s">
        <v>15</v>
      </c>
      <c r="I349" s="2" t="n">
        <v>0</v>
      </c>
    </row>
    <row r="350" customFormat="false" ht="15" hidden="false" customHeight="false" outlineLevel="0" collapsed="false">
      <c r="A350" s="2" t="s">
        <v>872</v>
      </c>
      <c r="B350" s="2" t="s">
        <v>873</v>
      </c>
      <c r="C350" s="2" t="s">
        <v>871</v>
      </c>
      <c r="D350" s="2" t="n">
        <v>2025</v>
      </c>
      <c r="E350" s="2" t="s">
        <v>12</v>
      </c>
      <c r="F350" s="2" t="s">
        <v>13</v>
      </c>
      <c r="G350" s="2" t="s">
        <v>14</v>
      </c>
      <c r="H350" s="2" t="s">
        <v>15</v>
      </c>
      <c r="I350" s="2" t="n">
        <v>7</v>
      </c>
    </row>
    <row r="351" customFormat="false" ht="15" hidden="false" customHeight="false" outlineLevel="0" collapsed="false">
      <c r="A351" s="2" t="s">
        <v>874</v>
      </c>
      <c r="B351" s="2" t="s">
        <v>875</v>
      </c>
      <c r="C351" s="2" t="s">
        <v>876</v>
      </c>
      <c r="D351" s="2" t="n">
        <v>2025</v>
      </c>
      <c r="E351" s="2" t="s">
        <v>12</v>
      </c>
      <c r="F351" s="2" t="s">
        <v>13</v>
      </c>
      <c r="G351" s="2" t="s">
        <v>37</v>
      </c>
      <c r="H351" s="2" t="s">
        <v>15</v>
      </c>
      <c r="I351" s="2" t="n">
        <v>3</v>
      </c>
    </row>
    <row r="352" customFormat="false" ht="15" hidden="false" customHeight="false" outlineLevel="0" collapsed="false">
      <c r="A352" s="2" t="s">
        <v>877</v>
      </c>
      <c r="B352" s="2" t="s">
        <v>878</v>
      </c>
      <c r="C352" s="2" t="s">
        <v>876</v>
      </c>
      <c r="D352" s="2" t="n">
        <v>2025</v>
      </c>
      <c r="E352" s="2" t="s">
        <v>40</v>
      </c>
      <c r="F352" s="2" t="s">
        <v>64</v>
      </c>
      <c r="G352" s="2" t="s">
        <v>49</v>
      </c>
      <c r="H352" s="2" t="s">
        <v>65</v>
      </c>
      <c r="I352" s="2" t="n">
        <v>0</v>
      </c>
    </row>
    <row r="353" customFormat="false" ht="15" hidden="false" customHeight="false" outlineLevel="0" collapsed="false">
      <c r="A353" s="2" t="s">
        <v>879</v>
      </c>
      <c r="B353" s="2" t="s">
        <v>880</v>
      </c>
      <c r="C353" s="2" t="s">
        <v>881</v>
      </c>
      <c r="D353" s="2" t="n">
        <v>2025</v>
      </c>
      <c r="E353" s="2" t="s">
        <v>46</v>
      </c>
      <c r="F353" s="2" t="s">
        <v>26</v>
      </c>
      <c r="G353" s="2" t="s">
        <v>49</v>
      </c>
      <c r="H353" s="2" t="s">
        <v>28</v>
      </c>
      <c r="I353" s="2" t="n">
        <v>0</v>
      </c>
    </row>
    <row r="354" customFormat="false" ht="15" hidden="false" customHeight="false" outlineLevel="0" collapsed="false">
      <c r="A354" s="2" t="s">
        <v>882</v>
      </c>
      <c r="B354" s="2" t="s">
        <v>883</v>
      </c>
      <c r="C354" s="2" t="s">
        <v>884</v>
      </c>
      <c r="D354" s="2" t="n">
        <v>2025</v>
      </c>
      <c r="E354" s="2" t="s">
        <v>12</v>
      </c>
      <c r="F354" s="2" t="s">
        <v>82</v>
      </c>
      <c r="G354" s="2" t="s">
        <v>27</v>
      </c>
      <c r="H354" s="2" t="s">
        <v>83</v>
      </c>
      <c r="I354" s="2" t="n">
        <v>0</v>
      </c>
    </row>
    <row r="355" customFormat="false" ht="15" hidden="false" customHeight="false" outlineLevel="0" collapsed="false">
      <c r="A355" s="2" t="s">
        <v>885</v>
      </c>
      <c r="B355" s="2" t="s">
        <v>886</v>
      </c>
      <c r="C355" s="2" t="s">
        <v>887</v>
      </c>
      <c r="D355" s="2" t="n">
        <v>2025</v>
      </c>
      <c r="E355" s="2" t="s">
        <v>12</v>
      </c>
      <c r="F355" s="2" t="s">
        <v>64</v>
      </c>
      <c r="G355" s="2" t="s">
        <v>14</v>
      </c>
      <c r="H355" s="2" t="s">
        <v>65</v>
      </c>
      <c r="I355" s="2" t="n">
        <v>3</v>
      </c>
    </row>
    <row r="356" customFormat="false" ht="15" hidden="false" customHeight="false" outlineLevel="0" collapsed="false">
      <c r="A356" s="2" t="s">
        <v>888</v>
      </c>
      <c r="B356" s="2" t="s">
        <v>889</v>
      </c>
      <c r="C356" s="2" t="s">
        <v>890</v>
      </c>
      <c r="D356" s="2" t="n">
        <v>2025</v>
      </c>
      <c r="E356" s="2" t="s">
        <v>46</v>
      </c>
      <c r="F356" s="2" t="s">
        <v>26</v>
      </c>
      <c r="G356" s="2" t="s">
        <v>49</v>
      </c>
      <c r="H356" s="2" t="s">
        <v>28</v>
      </c>
      <c r="I356" s="2" t="n">
        <v>0</v>
      </c>
    </row>
    <row r="357" customFormat="false" ht="15" hidden="false" customHeight="false" outlineLevel="0" collapsed="false">
      <c r="A357" s="2" t="s">
        <v>891</v>
      </c>
      <c r="B357" s="2" t="s">
        <v>892</v>
      </c>
      <c r="C357" s="2" t="s">
        <v>893</v>
      </c>
      <c r="D357" s="2" t="n">
        <v>2025</v>
      </c>
      <c r="E357" s="2" t="s">
        <v>12</v>
      </c>
      <c r="F357" s="2" t="s">
        <v>325</v>
      </c>
      <c r="G357" s="2" t="s">
        <v>37</v>
      </c>
      <c r="H357" s="2" t="s">
        <v>326</v>
      </c>
      <c r="I357" s="2" t="n">
        <v>0</v>
      </c>
    </row>
    <row r="358" customFormat="false" ht="15" hidden="false" customHeight="false" outlineLevel="0" collapsed="false">
      <c r="A358" s="2" t="s">
        <v>894</v>
      </c>
      <c r="B358" s="2" t="s">
        <v>895</v>
      </c>
      <c r="C358" s="2" t="s">
        <v>896</v>
      </c>
      <c r="D358" s="2" t="n">
        <v>2025</v>
      </c>
      <c r="E358" s="2" t="s">
        <v>46</v>
      </c>
      <c r="F358" s="2" t="s">
        <v>26</v>
      </c>
      <c r="G358" s="2" t="s">
        <v>49</v>
      </c>
      <c r="H358" s="2" t="s">
        <v>28</v>
      </c>
      <c r="I358" s="2" t="n">
        <v>0</v>
      </c>
    </row>
    <row r="359" customFormat="false" ht="15" hidden="false" customHeight="false" outlineLevel="0" collapsed="false">
      <c r="A359" s="2" t="s">
        <v>897</v>
      </c>
      <c r="B359" s="2" t="s">
        <v>898</v>
      </c>
      <c r="C359" s="2" t="s">
        <v>899</v>
      </c>
      <c r="D359" s="2" t="n">
        <v>2025</v>
      </c>
      <c r="E359" s="2" t="s">
        <v>12</v>
      </c>
      <c r="F359" s="2" t="s">
        <v>82</v>
      </c>
      <c r="G359" s="2" t="s">
        <v>34</v>
      </c>
      <c r="H359" s="2" t="s">
        <v>83</v>
      </c>
      <c r="I359" s="2" t="n">
        <v>1</v>
      </c>
    </row>
    <row r="360" customFormat="false" ht="15" hidden="false" customHeight="false" outlineLevel="0" collapsed="false">
      <c r="A360" s="2" t="s">
        <v>900</v>
      </c>
      <c r="B360" s="2" t="s">
        <v>901</v>
      </c>
      <c r="C360" s="2" t="s">
        <v>902</v>
      </c>
      <c r="D360" s="2" t="n">
        <v>2025</v>
      </c>
      <c r="E360" s="2" t="s">
        <v>12</v>
      </c>
      <c r="F360" s="2" t="s">
        <v>55</v>
      </c>
      <c r="G360" s="2" t="s">
        <v>37</v>
      </c>
      <c r="H360" s="2" t="s">
        <v>56</v>
      </c>
      <c r="I360" s="2" t="n">
        <v>3</v>
      </c>
    </row>
    <row r="361" customFormat="false" ht="15" hidden="false" customHeight="false" outlineLevel="0" collapsed="false">
      <c r="A361" s="2" t="s">
        <v>903</v>
      </c>
      <c r="B361" s="2" t="s">
        <v>904</v>
      </c>
      <c r="C361" s="2" t="s">
        <v>902</v>
      </c>
      <c r="D361" s="2" t="n">
        <v>2025</v>
      </c>
      <c r="E361" s="2" t="s">
        <v>12</v>
      </c>
      <c r="F361" s="2" t="s">
        <v>13</v>
      </c>
      <c r="G361" s="2" t="s">
        <v>73</v>
      </c>
      <c r="H361" s="2" t="s">
        <v>15</v>
      </c>
      <c r="I361" s="2" t="n">
        <v>0</v>
      </c>
    </row>
    <row r="362" customFormat="false" ht="15" hidden="false" customHeight="false" outlineLevel="0" collapsed="false">
      <c r="A362" s="2" t="s">
        <v>905</v>
      </c>
      <c r="B362" s="2" t="s">
        <v>906</v>
      </c>
      <c r="C362" s="2" t="s">
        <v>907</v>
      </c>
      <c r="D362" s="2" t="n">
        <v>2025</v>
      </c>
      <c r="E362" s="2" t="s">
        <v>12</v>
      </c>
      <c r="F362" s="2" t="s">
        <v>908</v>
      </c>
      <c r="G362" s="2" t="s">
        <v>49</v>
      </c>
      <c r="H362" s="2" t="s">
        <v>909</v>
      </c>
      <c r="I362" s="2" t="n">
        <v>0</v>
      </c>
    </row>
    <row r="363" customFormat="false" ht="15" hidden="false" customHeight="false" outlineLevel="0" collapsed="false">
      <c r="A363" s="2" t="s">
        <v>910</v>
      </c>
      <c r="B363" s="2" t="s">
        <v>911</v>
      </c>
      <c r="C363" s="2" t="s">
        <v>907</v>
      </c>
      <c r="D363" s="2" t="n">
        <v>2025</v>
      </c>
      <c r="E363" s="2" t="s">
        <v>12</v>
      </c>
      <c r="F363" s="2" t="s">
        <v>13</v>
      </c>
      <c r="G363" s="2" t="s">
        <v>14</v>
      </c>
      <c r="H363" s="2" t="s">
        <v>15</v>
      </c>
      <c r="I363" s="2" t="n">
        <v>0</v>
      </c>
    </row>
    <row r="364" customFormat="false" ht="15" hidden="false" customHeight="false" outlineLevel="0" collapsed="false">
      <c r="A364" s="2" t="s">
        <v>912</v>
      </c>
      <c r="B364" s="2" t="s">
        <v>913</v>
      </c>
      <c r="C364" s="2" t="s">
        <v>907</v>
      </c>
      <c r="D364" s="2" t="n">
        <v>2025</v>
      </c>
      <c r="E364" s="2" t="s">
        <v>12</v>
      </c>
      <c r="F364" s="2" t="s">
        <v>13</v>
      </c>
      <c r="G364" s="2" t="s">
        <v>34</v>
      </c>
      <c r="H364" s="2" t="s">
        <v>15</v>
      </c>
      <c r="I364" s="2" t="n">
        <v>0</v>
      </c>
    </row>
    <row r="365" customFormat="false" ht="15" hidden="false" customHeight="false" outlineLevel="0" collapsed="false">
      <c r="A365" s="2" t="s">
        <v>914</v>
      </c>
      <c r="B365" s="2" t="s">
        <v>915</v>
      </c>
      <c r="C365" s="2" t="s">
        <v>916</v>
      </c>
      <c r="D365" s="2" t="n">
        <v>2025</v>
      </c>
      <c r="E365" s="2" t="s">
        <v>12</v>
      </c>
      <c r="F365" s="2" t="s">
        <v>18</v>
      </c>
      <c r="G365" s="2" t="s">
        <v>37</v>
      </c>
      <c r="H365" s="2" t="s">
        <v>20</v>
      </c>
      <c r="I365" s="2" t="n">
        <v>2</v>
      </c>
    </row>
    <row r="366" customFormat="false" ht="15" hidden="false" customHeight="false" outlineLevel="0" collapsed="false">
      <c r="A366" s="2" t="s">
        <v>917</v>
      </c>
      <c r="B366" s="2" t="s">
        <v>918</v>
      </c>
      <c r="C366" s="2" t="s">
        <v>916</v>
      </c>
      <c r="D366" s="2" t="n">
        <v>2025</v>
      </c>
      <c r="E366" s="2" t="s">
        <v>12</v>
      </c>
      <c r="F366" s="2" t="s">
        <v>64</v>
      </c>
      <c r="G366" s="2" t="s">
        <v>107</v>
      </c>
      <c r="H366" s="2" t="s">
        <v>65</v>
      </c>
      <c r="I366" s="2" t="n">
        <v>0</v>
      </c>
    </row>
    <row r="367" customFormat="false" ht="15" hidden="false" customHeight="false" outlineLevel="0" collapsed="false">
      <c r="A367" s="2" t="s">
        <v>919</v>
      </c>
      <c r="B367" s="2" t="s">
        <v>920</v>
      </c>
      <c r="C367" s="2" t="s">
        <v>916</v>
      </c>
      <c r="D367" s="2" t="n">
        <v>2025</v>
      </c>
      <c r="E367" s="2" t="s">
        <v>12</v>
      </c>
      <c r="F367" s="2" t="s">
        <v>146</v>
      </c>
      <c r="G367" s="2" t="s">
        <v>73</v>
      </c>
      <c r="H367" s="2" t="s">
        <v>147</v>
      </c>
      <c r="I367" s="2" t="n">
        <v>1</v>
      </c>
    </row>
    <row r="368" customFormat="false" ht="15" hidden="false" customHeight="false" outlineLevel="0" collapsed="false">
      <c r="A368" s="2" t="s">
        <v>921</v>
      </c>
      <c r="B368" s="2" t="s">
        <v>922</v>
      </c>
      <c r="C368" s="2" t="s">
        <v>916</v>
      </c>
      <c r="D368" s="2" t="n">
        <v>2025</v>
      </c>
      <c r="E368" s="2" t="s">
        <v>12</v>
      </c>
      <c r="F368" s="2" t="s">
        <v>26</v>
      </c>
      <c r="G368" s="2" t="s">
        <v>52</v>
      </c>
      <c r="H368" s="2" t="s">
        <v>28</v>
      </c>
      <c r="I368" s="2" t="n">
        <v>0</v>
      </c>
    </row>
    <row r="369" customFormat="false" ht="15" hidden="false" customHeight="false" outlineLevel="0" collapsed="false">
      <c r="A369" s="2" t="s">
        <v>923</v>
      </c>
      <c r="B369" s="2" t="s">
        <v>924</v>
      </c>
      <c r="C369" s="2" t="s">
        <v>916</v>
      </c>
      <c r="D369" s="2" t="n">
        <v>2025</v>
      </c>
      <c r="E369" s="2" t="s">
        <v>40</v>
      </c>
      <c r="F369" s="2" t="s">
        <v>64</v>
      </c>
      <c r="G369" s="2" t="s">
        <v>107</v>
      </c>
      <c r="H369" s="2" t="s">
        <v>65</v>
      </c>
      <c r="I369" s="2" t="n">
        <v>0</v>
      </c>
    </row>
    <row r="370" customFormat="false" ht="15" hidden="false" customHeight="false" outlineLevel="0" collapsed="false">
      <c r="A370" s="2" t="s">
        <v>925</v>
      </c>
      <c r="B370" s="2" t="s">
        <v>926</v>
      </c>
      <c r="C370" s="2" t="s">
        <v>927</v>
      </c>
      <c r="D370" s="2" t="n">
        <v>2025</v>
      </c>
      <c r="E370" s="2" t="s">
        <v>46</v>
      </c>
      <c r="F370" s="2" t="s">
        <v>26</v>
      </c>
      <c r="G370" s="2" t="s">
        <v>107</v>
      </c>
      <c r="H370" s="2" t="s">
        <v>28</v>
      </c>
      <c r="I370" s="2" t="n">
        <v>0</v>
      </c>
    </row>
    <row r="371" customFormat="false" ht="15" hidden="false" customHeight="false" outlineLevel="0" collapsed="false">
      <c r="A371" s="2" t="s">
        <v>928</v>
      </c>
      <c r="B371" s="2" t="s">
        <v>929</v>
      </c>
      <c r="C371" s="2" t="s">
        <v>930</v>
      </c>
      <c r="D371" s="2" t="n">
        <v>2025</v>
      </c>
      <c r="E371" s="2" t="s">
        <v>12</v>
      </c>
      <c r="F371" s="2" t="s">
        <v>13</v>
      </c>
      <c r="G371" s="2" t="s">
        <v>49</v>
      </c>
      <c r="H371" s="2" t="s">
        <v>15</v>
      </c>
      <c r="I371" s="2" t="n">
        <v>2</v>
      </c>
    </row>
    <row r="372" customFormat="false" ht="15" hidden="false" customHeight="false" outlineLevel="0" collapsed="false">
      <c r="A372" s="2" t="s">
        <v>931</v>
      </c>
      <c r="B372" s="2" t="s">
        <v>932</v>
      </c>
      <c r="C372" s="2" t="s">
        <v>933</v>
      </c>
      <c r="D372" s="2" t="n">
        <v>2025</v>
      </c>
      <c r="E372" s="2" t="s">
        <v>12</v>
      </c>
      <c r="F372" s="2" t="s">
        <v>146</v>
      </c>
      <c r="G372" s="2" t="s">
        <v>107</v>
      </c>
      <c r="H372" s="2" t="s">
        <v>147</v>
      </c>
      <c r="I372" s="2" t="n">
        <v>2</v>
      </c>
    </row>
    <row r="373" customFormat="false" ht="15" hidden="false" customHeight="false" outlineLevel="0" collapsed="false">
      <c r="A373" s="2" t="s">
        <v>934</v>
      </c>
      <c r="B373" s="2" t="s">
        <v>935</v>
      </c>
      <c r="C373" s="2" t="s">
        <v>936</v>
      </c>
      <c r="D373" s="2" t="n">
        <v>2025</v>
      </c>
      <c r="E373" s="2" t="s">
        <v>40</v>
      </c>
      <c r="F373" s="2" t="s">
        <v>64</v>
      </c>
      <c r="G373" s="2" t="s">
        <v>27</v>
      </c>
      <c r="H373" s="2" t="s">
        <v>65</v>
      </c>
      <c r="I373" s="2" t="n">
        <v>0</v>
      </c>
    </row>
    <row r="374" customFormat="false" ht="15" hidden="false" customHeight="false" outlineLevel="0" collapsed="false">
      <c r="A374" s="2" t="s">
        <v>937</v>
      </c>
      <c r="B374" s="2" t="s">
        <v>938</v>
      </c>
      <c r="C374" s="2" t="s">
        <v>939</v>
      </c>
      <c r="D374" s="2" t="n">
        <v>2025</v>
      </c>
      <c r="E374" s="2" t="s">
        <v>46</v>
      </c>
      <c r="F374" s="2" t="s">
        <v>26</v>
      </c>
      <c r="G374" s="2" t="s">
        <v>52</v>
      </c>
      <c r="H374" s="2" t="s">
        <v>28</v>
      </c>
      <c r="I374" s="2" t="n">
        <v>0</v>
      </c>
    </row>
    <row r="375" customFormat="false" ht="15" hidden="false" customHeight="false" outlineLevel="0" collapsed="false">
      <c r="A375" s="2" t="s">
        <v>940</v>
      </c>
      <c r="B375" s="2" t="s">
        <v>941</v>
      </c>
      <c r="C375" s="2" t="s">
        <v>942</v>
      </c>
      <c r="D375" s="2" t="n">
        <v>2025</v>
      </c>
      <c r="E375" s="2" t="s">
        <v>12</v>
      </c>
      <c r="F375" s="2" t="s">
        <v>146</v>
      </c>
      <c r="G375" s="2" t="s">
        <v>34</v>
      </c>
      <c r="H375" s="2" t="s">
        <v>147</v>
      </c>
      <c r="I375" s="2" t="n">
        <v>0</v>
      </c>
    </row>
    <row r="376" customFormat="false" ht="15" hidden="false" customHeight="false" outlineLevel="0" collapsed="false">
      <c r="A376" s="2" t="s">
        <v>943</v>
      </c>
      <c r="B376" s="2" t="s">
        <v>944</v>
      </c>
      <c r="C376" s="2" t="s">
        <v>945</v>
      </c>
      <c r="D376" s="2" t="n">
        <v>2025</v>
      </c>
      <c r="E376" s="2" t="s">
        <v>12</v>
      </c>
      <c r="F376" s="2" t="s">
        <v>64</v>
      </c>
      <c r="G376" s="2" t="s">
        <v>49</v>
      </c>
      <c r="H376" s="2" t="s">
        <v>65</v>
      </c>
      <c r="I376" s="2" t="n">
        <v>1</v>
      </c>
    </row>
    <row r="377" customFormat="false" ht="15" hidden="false" customHeight="false" outlineLevel="0" collapsed="false">
      <c r="A377" s="2" t="s">
        <v>946</v>
      </c>
      <c r="B377" s="2" t="s">
        <v>947</v>
      </c>
      <c r="C377" s="2" t="s">
        <v>945</v>
      </c>
      <c r="D377" s="2" t="n">
        <v>2025</v>
      </c>
      <c r="E377" s="2" t="s">
        <v>12</v>
      </c>
      <c r="F377" s="2" t="s">
        <v>64</v>
      </c>
      <c r="G377" s="2" t="s">
        <v>37</v>
      </c>
      <c r="H377" s="2" t="s">
        <v>65</v>
      </c>
      <c r="I377" s="2" t="n">
        <v>3</v>
      </c>
    </row>
    <row r="378" customFormat="false" ht="15" hidden="false" customHeight="false" outlineLevel="0" collapsed="false">
      <c r="A378" s="2" t="s">
        <v>948</v>
      </c>
      <c r="B378" s="2" t="s">
        <v>949</v>
      </c>
      <c r="C378" s="2" t="s">
        <v>945</v>
      </c>
      <c r="D378" s="2" t="n">
        <v>2025</v>
      </c>
      <c r="E378" s="2" t="s">
        <v>12</v>
      </c>
      <c r="F378" s="2" t="s">
        <v>64</v>
      </c>
      <c r="G378" s="2" t="s">
        <v>49</v>
      </c>
      <c r="H378" s="2" t="s">
        <v>65</v>
      </c>
      <c r="I378" s="2" t="n">
        <v>1</v>
      </c>
    </row>
    <row r="379" customFormat="false" ht="15" hidden="false" customHeight="false" outlineLevel="0" collapsed="false">
      <c r="A379" s="2" t="s">
        <v>950</v>
      </c>
      <c r="B379" s="2" t="s">
        <v>951</v>
      </c>
      <c r="C379" s="2" t="s">
        <v>945</v>
      </c>
      <c r="D379" s="2" t="n">
        <v>2025</v>
      </c>
      <c r="E379" s="2" t="s">
        <v>12</v>
      </c>
      <c r="F379" s="2" t="s">
        <v>146</v>
      </c>
      <c r="G379" s="2" t="s">
        <v>14</v>
      </c>
      <c r="H379" s="2" t="s">
        <v>147</v>
      </c>
      <c r="I379" s="2" t="n">
        <v>4</v>
      </c>
    </row>
    <row r="380" customFormat="false" ht="15" hidden="false" customHeight="false" outlineLevel="0" collapsed="false">
      <c r="A380" s="2" t="s">
        <v>952</v>
      </c>
      <c r="B380" s="2" t="s">
        <v>953</v>
      </c>
      <c r="C380" s="2" t="s">
        <v>954</v>
      </c>
      <c r="D380" s="2" t="n">
        <v>2025</v>
      </c>
      <c r="E380" s="2" t="s">
        <v>12</v>
      </c>
      <c r="F380" s="2" t="s">
        <v>146</v>
      </c>
      <c r="G380" s="2" t="s">
        <v>34</v>
      </c>
      <c r="H380" s="2" t="s">
        <v>147</v>
      </c>
      <c r="I380" s="2" t="n">
        <v>0</v>
      </c>
    </row>
    <row r="381" customFormat="false" ht="15" hidden="false" customHeight="false" outlineLevel="0" collapsed="false">
      <c r="A381" s="2" t="s">
        <v>955</v>
      </c>
      <c r="B381" s="2" t="s">
        <v>956</v>
      </c>
      <c r="C381" s="2" t="s">
        <v>957</v>
      </c>
      <c r="D381" s="2" t="n">
        <v>2025</v>
      </c>
      <c r="E381" s="2" t="s">
        <v>12</v>
      </c>
      <c r="F381" s="2" t="s">
        <v>82</v>
      </c>
      <c r="G381" s="2" t="s">
        <v>37</v>
      </c>
      <c r="H381" s="2" t="s">
        <v>83</v>
      </c>
      <c r="I381" s="2" t="n">
        <v>0</v>
      </c>
    </row>
    <row r="382" customFormat="false" ht="15" hidden="false" customHeight="false" outlineLevel="0" collapsed="false">
      <c r="A382" s="2" t="s">
        <v>958</v>
      </c>
      <c r="B382" s="2" t="s">
        <v>959</v>
      </c>
      <c r="C382" s="2" t="s">
        <v>957</v>
      </c>
      <c r="D382" s="2" t="n">
        <v>2025</v>
      </c>
      <c r="E382" s="2" t="s">
        <v>12</v>
      </c>
      <c r="F382" s="2" t="s">
        <v>64</v>
      </c>
      <c r="G382" s="2" t="s">
        <v>107</v>
      </c>
      <c r="H382" s="2" t="s">
        <v>65</v>
      </c>
      <c r="I382" s="2" t="n">
        <v>0</v>
      </c>
    </row>
    <row r="383" customFormat="false" ht="15" hidden="false" customHeight="false" outlineLevel="0" collapsed="false">
      <c r="A383" s="2" t="s">
        <v>960</v>
      </c>
      <c r="B383" s="2" t="s">
        <v>961</v>
      </c>
      <c r="C383" s="2" t="s">
        <v>962</v>
      </c>
      <c r="D383" s="2" t="n">
        <v>2025</v>
      </c>
      <c r="E383" s="2" t="s">
        <v>12</v>
      </c>
      <c r="F383" s="2" t="s">
        <v>26</v>
      </c>
      <c r="G383" s="2" t="s">
        <v>52</v>
      </c>
      <c r="H383" s="2" t="s">
        <v>28</v>
      </c>
      <c r="I383" s="2" t="n">
        <v>1</v>
      </c>
    </row>
    <row r="384" customFormat="false" ht="15" hidden="false" customHeight="false" outlineLevel="0" collapsed="false">
      <c r="A384" s="2" t="s">
        <v>963</v>
      </c>
      <c r="B384" s="2" t="s">
        <v>964</v>
      </c>
      <c r="C384" s="2" t="s">
        <v>965</v>
      </c>
      <c r="D384" s="2" t="n">
        <v>2025</v>
      </c>
      <c r="E384" s="2" t="s">
        <v>12</v>
      </c>
      <c r="F384" s="2" t="s">
        <v>64</v>
      </c>
      <c r="G384" s="2" t="s">
        <v>52</v>
      </c>
      <c r="H384" s="2" t="s">
        <v>65</v>
      </c>
      <c r="I384" s="2" t="n">
        <v>0</v>
      </c>
    </row>
    <row r="385" customFormat="false" ht="15" hidden="false" customHeight="false" outlineLevel="0" collapsed="false">
      <c r="A385" s="2" t="s">
        <v>966</v>
      </c>
      <c r="B385" s="2" t="s">
        <v>967</v>
      </c>
      <c r="C385" s="2" t="s">
        <v>965</v>
      </c>
      <c r="D385" s="2" t="n">
        <v>2025</v>
      </c>
      <c r="E385" s="2" t="s">
        <v>12</v>
      </c>
      <c r="F385" s="2" t="s">
        <v>26</v>
      </c>
      <c r="G385" s="2" t="s">
        <v>34</v>
      </c>
      <c r="H385" s="2" t="s">
        <v>28</v>
      </c>
      <c r="I385" s="2" t="n">
        <v>1</v>
      </c>
    </row>
    <row r="386" customFormat="false" ht="15" hidden="false" customHeight="false" outlineLevel="0" collapsed="false">
      <c r="A386" s="2" t="s">
        <v>968</v>
      </c>
      <c r="B386" s="2" t="s">
        <v>969</v>
      </c>
      <c r="C386" s="2" t="s">
        <v>965</v>
      </c>
      <c r="D386" s="2" t="n">
        <v>2025</v>
      </c>
      <c r="E386" s="2" t="s">
        <v>12</v>
      </c>
      <c r="F386" s="2" t="s">
        <v>64</v>
      </c>
      <c r="G386" s="2" t="s">
        <v>14</v>
      </c>
      <c r="H386" s="2" t="s">
        <v>65</v>
      </c>
      <c r="I386" s="2" t="n">
        <v>0</v>
      </c>
    </row>
    <row r="387" customFormat="false" ht="15" hidden="false" customHeight="false" outlineLevel="0" collapsed="false">
      <c r="A387" s="2" t="s">
        <v>970</v>
      </c>
      <c r="B387" s="2" t="s">
        <v>967</v>
      </c>
      <c r="C387" s="2" t="s">
        <v>965</v>
      </c>
      <c r="D387" s="2" t="n">
        <v>2025</v>
      </c>
      <c r="E387" s="2" t="s">
        <v>12</v>
      </c>
      <c r="F387" s="2" t="s">
        <v>26</v>
      </c>
      <c r="G387" s="2" t="s">
        <v>34</v>
      </c>
      <c r="H387" s="2" t="s">
        <v>28</v>
      </c>
      <c r="I387" s="2" t="n">
        <v>2</v>
      </c>
    </row>
    <row r="388" customFormat="false" ht="15" hidden="false" customHeight="false" outlineLevel="0" collapsed="false">
      <c r="A388" s="2" t="s">
        <v>971</v>
      </c>
      <c r="B388" s="2" t="s">
        <v>972</v>
      </c>
      <c r="C388" s="2" t="s">
        <v>973</v>
      </c>
      <c r="D388" s="2" t="n">
        <v>2025</v>
      </c>
      <c r="E388" s="2" t="s">
        <v>12</v>
      </c>
      <c r="F388" s="2" t="s">
        <v>13</v>
      </c>
      <c r="G388" s="2" t="s">
        <v>14</v>
      </c>
      <c r="H388" s="2" t="s">
        <v>15</v>
      </c>
      <c r="I388" s="2" t="n">
        <v>0</v>
      </c>
    </row>
    <row r="389" customFormat="false" ht="15" hidden="false" customHeight="false" outlineLevel="0" collapsed="false">
      <c r="A389" s="2" t="s">
        <v>974</v>
      </c>
      <c r="B389" s="2" t="s">
        <v>975</v>
      </c>
      <c r="C389" s="2" t="s">
        <v>973</v>
      </c>
      <c r="D389" s="2" t="n">
        <v>2025</v>
      </c>
      <c r="E389" s="2" t="s">
        <v>12</v>
      </c>
      <c r="F389" s="2" t="s">
        <v>13</v>
      </c>
      <c r="G389" s="2" t="s">
        <v>73</v>
      </c>
      <c r="H389" s="2" t="s">
        <v>15</v>
      </c>
      <c r="I389" s="2" t="n">
        <v>1</v>
      </c>
    </row>
    <row r="390" customFormat="false" ht="15" hidden="false" customHeight="false" outlineLevel="0" collapsed="false">
      <c r="A390" s="2" t="s">
        <v>976</v>
      </c>
      <c r="B390" s="2" t="s">
        <v>977</v>
      </c>
      <c r="C390" s="2" t="s">
        <v>978</v>
      </c>
      <c r="D390" s="2" t="n">
        <v>2025</v>
      </c>
      <c r="E390" s="2" t="s">
        <v>12</v>
      </c>
      <c r="F390" s="2" t="s">
        <v>26</v>
      </c>
      <c r="G390" s="2" t="s">
        <v>14</v>
      </c>
      <c r="H390" s="2" t="s">
        <v>28</v>
      </c>
      <c r="I390" s="2" t="n">
        <v>3</v>
      </c>
    </row>
    <row r="391" customFormat="false" ht="15" hidden="false" customHeight="false" outlineLevel="0" collapsed="false">
      <c r="A391" s="2" t="s">
        <v>979</v>
      </c>
      <c r="B391" s="2" t="s">
        <v>980</v>
      </c>
      <c r="C391" s="2" t="s">
        <v>981</v>
      </c>
      <c r="D391" s="2" t="n">
        <v>2025</v>
      </c>
      <c r="E391" s="2" t="s">
        <v>710</v>
      </c>
      <c r="F391" s="2" t="s">
        <v>155</v>
      </c>
      <c r="G391" s="2" t="s">
        <v>37</v>
      </c>
      <c r="H391" s="2" t="s">
        <v>711</v>
      </c>
      <c r="I391" s="2" t="n">
        <v>0</v>
      </c>
    </row>
    <row r="392" customFormat="false" ht="15" hidden="false" customHeight="false" outlineLevel="0" collapsed="false">
      <c r="A392" s="2" t="s">
        <v>982</v>
      </c>
      <c r="B392" s="2" t="s">
        <v>983</v>
      </c>
      <c r="C392" s="2" t="s">
        <v>981</v>
      </c>
      <c r="D392" s="2" t="n">
        <v>2025</v>
      </c>
      <c r="E392" s="2" t="s">
        <v>12</v>
      </c>
      <c r="F392" s="2" t="s">
        <v>55</v>
      </c>
      <c r="G392" s="2" t="s">
        <v>52</v>
      </c>
      <c r="H392" s="2" t="s">
        <v>56</v>
      </c>
      <c r="I392" s="2" t="n">
        <v>0</v>
      </c>
    </row>
    <row r="393" customFormat="false" ht="15" hidden="false" customHeight="false" outlineLevel="0" collapsed="false">
      <c r="A393" s="2" t="s">
        <v>984</v>
      </c>
      <c r="B393" s="2" t="s">
        <v>985</v>
      </c>
      <c r="C393" s="2" t="s">
        <v>986</v>
      </c>
      <c r="D393" s="2" t="n">
        <v>2025</v>
      </c>
      <c r="E393" s="2" t="s">
        <v>12</v>
      </c>
      <c r="F393" s="2" t="s">
        <v>155</v>
      </c>
      <c r="G393" s="2" t="s">
        <v>34</v>
      </c>
      <c r="H393" s="2" t="s">
        <v>987</v>
      </c>
      <c r="I393" s="2" t="n">
        <v>0</v>
      </c>
    </row>
    <row r="394" customFormat="false" ht="15" hidden="false" customHeight="false" outlineLevel="0" collapsed="false">
      <c r="A394" s="2" t="s">
        <v>988</v>
      </c>
      <c r="B394" s="2" t="s">
        <v>989</v>
      </c>
      <c r="C394" s="2" t="s">
        <v>986</v>
      </c>
      <c r="D394" s="2" t="n">
        <v>2025</v>
      </c>
      <c r="E394" s="2" t="s">
        <v>12</v>
      </c>
      <c r="F394" s="2" t="s">
        <v>990</v>
      </c>
      <c r="G394" s="2" t="s">
        <v>37</v>
      </c>
      <c r="H394" s="2" t="s">
        <v>991</v>
      </c>
      <c r="I394" s="2" t="n">
        <v>8</v>
      </c>
    </row>
    <row r="395" customFormat="false" ht="15" hidden="false" customHeight="false" outlineLevel="0" collapsed="false">
      <c r="A395" s="2" t="s">
        <v>992</v>
      </c>
      <c r="B395" s="2" t="s">
        <v>993</v>
      </c>
      <c r="C395" s="2" t="s">
        <v>986</v>
      </c>
      <c r="D395" s="2" t="n">
        <v>2025</v>
      </c>
      <c r="E395" s="2" t="s">
        <v>12</v>
      </c>
      <c r="F395" s="2" t="s">
        <v>64</v>
      </c>
      <c r="G395" s="2" t="s">
        <v>37</v>
      </c>
      <c r="H395" s="2" t="s">
        <v>65</v>
      </c>
      <c r="I395" s="2" t="n">
        <v>3</v>
      </c>
    </row>
    <row r="396" customFormat="false" ht="15" hidden="false" customHeight="false" outlineLevel="0" collapsed="false">
      <c r="A396" s="2" t="s">
        <v>994</v>
      </c>
      <c r="B396" s="2" t="s">
        <v>995</v>
      </c>
      <c r="C396" s="2" t="s">
        <v>986</v>
      </c>
      <c r="D396" s="2" t="n">
        <v>2025</v>
      </c>
      <c r="E396" s="2" t="s">
        <v>12</v>
      </c>
      <c r="F396" s="2" t="s">
        <v>146</v>
      </c>
      <c r="G396" s="2" t="s">
        <v>107</v>
      </c>
      <c r="H396" s="2" t="s">
        <v>147</v>
      </c>
      <c r="I396" s="2" t="n">
        <v>2</v>
      </c>
    </row>
    <row r="397" customFormat="false" ht="15" hidden="false" customHeight="false" outlineLevel="0" collapsed="false">
      <c r="A397" s="2" t="s">
        <v>996</v>
      </c>
      <c r="B397" s="2" t="s">
        <v>997</v>
      </c>
      <c r="C397" s="2" t="s">
        <v>986</v>
      </c>
      <c r="D397" s="2" t="n">
        <v>2025</v>
      </c>
      <c r="E397" s="2" t="s">
        <v>40</v>
      </c>
      <c r="F397" s="2" t="s">
        <v>64</v>
      </c>
      <c r="G397" s="2" t="s">
        <v>107</v>
      </c>
      <c r="H397" s="2" t="s">
        <v>65</v>
      </c>
      <c r="I397" s="2" t="n">
        <v>0</v>
      </c>
    </row>
    <row r="398" customFormat="false" ht="15" hidden="false" customHeight="false" outlineLevel="0" collapsed="false">
      <c r="A398" s="2" t="s">
        <v>998</v>
      </c>
      <c r="B398" s="2" t="s">
        <v>999</v>
      </c>
      <c r="C398" s="2" t="s">
        <v>1000</v>
      </c>
      <c r="D398" s="2" t="n">
        <v>2025</v>
      </c>
      <c r="E398" s="2" t="s">
        <v>60</v>
      </c>
      <c r="F398" s="2" t="s">
        <v>26</v>
      </c>
      <c r="G398" s="2" t="s">
        <v>73</v>
      </c>
      <c r="H398" s="2" t="s">
        <v>28</v>
      </c>
      <c r="I398" s="2" t="n">
        <v>0</v>
      </c>
    </row>
    <row r="399" customFormat="false" ht="15" hidden="false" customHeight="false" outlineLevel="0" collapsed="false">
      <c r="A399" s="2" t="s">
        <v>1001</v>
      </c>
      <c r="B399" s="2" t="s">
        <v>1002</v>
      </c>
      <c r="C399" s="2" t="s">
        <v>1003</v>
      </c>
      <c r="D399" s="2" t="n">
        <v>2025</v>
      </c>
      <c r="E399" s="2" t="s">
        <v>12</v>
      </c>
      <c r="F399" s="2" t="s">
        <v>13</v>
      </c>
      <c r="G399" s="2" t="s">
        <v>37</v>
      </c>
      <c r="H399" s="2" t="s">
        <v>15</v>
      </c>
      <c r="I399" s="2" t="n">
        <v>1</v>
      </c>
    </row>
    <row r="400" customFormat="false" ht="15" hidden="false" customHeight="false" outlineLevel="0" collapsed="false">
      <c r="A400" s="2" t="s">
        <v>1004</v>
      </c>
      <c r="B400" s="2" t="s">
        <v>1005</v>
      </c>
      <c r="C400" s="2" t="s">
        <v>1003</v>
      </c>
      <c r="D400" s="2" t="n">
        <v>2025</v>
      </c>
      <c r="E400" s="2" t="s">
        <v>12</v>
      </c>
      <c r="F400" s="2" t="s">
        <v>13</v>
      </c>
      <c r="G400" s="2" t="s">
        <v>37</v>
      </c>
      <c r="H400" s="2" t="s">
        <v>15</v>
      </c>
      <c r="I400" s="2" t="n">
        <v>5</v>
      </c>
    </row>
    <row r="401" customFormat="false" ht="15" hidden="false" customHeight="false" outlineLevel="0" collapsed="false">
      <c r="A401" s="2" t="s">
        <v>1006</v>
      </c>
      <c r="B401" s="2" t="s">
        <v>1007</v>
      </c>
      <c r="C401" s="2" t="s">
        <v>1008</v>
      </c>
      <c r="D401" s="2" t="n">
        <v>2025</v>
      </c>
      <c r="E401" s="2" t="s">
        <v>46</v>
      </c>
      <c r="F401" s="2" t="s">
        <v>26</v>
      </c>
      <c r="G401" s="2" t="s">
        <v>14</v>
      </c>
      <c r="H401" s="2" t="s">
        <v>28</v>
      </c>
      <c r="I401" s="2" t="n">
        <v>0</v>
      </c>
    </row>
    <row r="402" customFormat="false" ht="15" hidden="false" customHeight="false" outlineLevel="0" collapsed="false">
      <c r="A402" s="2" t="s">
        <v>1009</v>
      </c>
      <c r="B402" s="2" t="s">
        <v>1010</v>
      </c>
      <c r="C402" s="2" t="s">
        <v>1011</v>
      </c>
      <c r="D402" s="2" t="n">
        <v>2025</v>
      </c>
      <c r="E402" s="2" t="s">
        <v>12</v>
      </c>
      <c r="F402" s="2" t="s">
        <v>908</v>
      </c>
      <c r="G402" s="2" t="s">
        <v>34</v>
      </c>
      <c r="H402" s="2" t="s">
        <v>909</v>
      </c>
      <c r="I402" s="2" t="n">
        <v>0</v>
      </c>
    </row>
    <row r="403" customFormat="false" ht="15" hidden="false" customHeight="false" outlineLevel="0" collapsed="false">
      <c r="A403" s="2" t="s">
        <v>1012</v>
      </c>
      <c r="B403" s="2" t="s">
        <v>1013</v>
      </c>
      <c r="C403" s="2" t="s">
        <v>1014</v>
      </c>
      <c r="D403" s="2" t="n">
        <v>2025</v>
      </c>
      <c r="E403" s="2" t="s">
        <v>60</v>
      </c>
      <c r="F403" s="2" t="s">
        <v>1015</v>
      </c>
      <c r="G403" s="2" t="s">
        <v>73</v>
      </c>
      <c r="H403" s="2" t="s">
        <v>1016</v>
      </c>
      <c r="I403" s="2" t="n">
        <v>0</v>
      </c>
    </row>
    <row r="404" customFormat="false" ht="15" hidden="false" customHeight="false" outlineLevel="0" collapsed="false">
      <c r="A404" s="2" t="s">
        <v>1017</v>
      </c>
      <c r="B404" s="2" t="s">
        <v>1018</v>
      </c>
      <c r="C404" s="2" t="s">
        <v>1014</v>
      </c>
      <c r="D404" s="2" t="n">
        <v>2025</v>
      </c>
      <c r="E404" s="2" t="s">
        <v>432</v>
      </c>
      <c r="F404" s="2" t="s">
        <v>155</v>
      </c>
      <c r="G404" s="2" t="s">
        <v>49</v>
      </c>
      <c r="H404" s="2" t="s">
        <v>156</v>
      </c>
      <c r="I404" s="2" t="n">
        <v>0</v>
      </c>
    </row>
    <row r="405" customFormat="false" ht="15" hidden="false" customHeight="false" outlineLevel="0" collapsed="false">
      <c r="A405" s="2" t="s">
        <v>1019</v>
      </c>
      <c r="B405" s="2" t="s">
        <v>1020</v>
      </c>
      <c r="C405" s="2" t="s">
        <v>1021</v>
      </c>
      <c r="D405" s="2" t="n">
        <v>2025</v>
      </c>
      <c r="E405" s="2" t="s">
        <v>12</v>
      </c>
      <c r="F405" s="2" t="s">
        <v>26</v>
      </c>
      <c r="G405" s="2" t="s">
        <v>52</v>
      </c>
      <c r="H405" s="2" t="s">
        <v>28</v>
      </c>
      <c r="I405" s="2" t="n">
        <v>0</v>
      </c>
    </row>
    <row r="406" customFormat="false" ht="15" hidden="false" customHeight="false" outlineLevel="0" collapsed="false">
      <c r="A406" s="2" t="s">
        <v>1022</v>
      </c>
      <c r="B406" s="2" t="s">
        <v>1023</v>
      </c>
      <c r="C406" s="2" t="s">
        <v>1021</v>
      </c>
      <c r="D406" s="2" t="n">
        <v>2025</v>
      </c>
      <c r="E406" s="2" t="s">
        <v>12</v>
      </c>
      <c r="F406" s="2" t="s">
        <v>26</v>
      </c>
      <c r="G406" s="2" t="s">
        <v>52</v>
      </c>
      <c r="H406" s="2" t="s">
        <v>28</v>
      </c>
      <c r="I406" s="2" t="n">
        <v>4</v>
      </c>
    </row>
    <row r="407" customFormat="false" ht="15" hidden="false" customHeight="false" outlineLevel="0" collapsed="false">
      <c r="A407" s="2" t="s">
        <v>1024</v>
      </c>
      <c r="B407" s="2" t="s">
        <v>1025</v>
      </c>
      <c r="C407" s="2" t="s">
        <v>1021</v>
      </c>
      <c r="D407" s="2" t="n">
        <v>2025</v>
      </c>
      <c r="E407" s="2" t="s">
        <v>40</v>
      </c>
      <c r="F407" s="2" t="s">
        <v>26</v>
      </c>
      <c r="G407" s="2" t="s">
        <v>27</v>
      </c>
      <c r="H407" s="2" t="s">
        <v>28</v>
      </c>
      <c r="I407" s="2" t="n">
        <v>0</v>
      </c>
    </row>
    <row r="408" customFormat="false" ht="15" hidden="false" customHeight="false" outlineLevel="0" collapsed="false">
      <c r="A408" s="2" t="s">
        <v>1026</v>
      </c>
      <c r="B408" s="2" t="s">
        <v>1027</v>
      </c>
      <c r="C408" s="2" t="s">
        <v>1028</v>
      </c>
      <c r="D408" s="2" t="n">
        <v>2025</v>
      </c>
      <c r="E408" s="2" t="s">
        <v>12</v>
      </c>
      <c r="F408" s="2" t="s">
        <v>155</v>
      </c>
      <c r="G408" s="2" t="s">
        <v>34</v>
      </c>
      <c r="H408" s="2" t="s">
        <v>371</v>
      </c>
      <c r="I408" s="2" t="n">
        <v>0</v>
      </c>
    </row>
    <row r="409" customFormat="false" ht="15" hidden="false" customHeight="false" outlineLevel="0" collapsed="false">
      <c r="A409" s="2" t="s">
        <v>1029</v>
      </c>
      <c r="B409" s="2" t="s">
        <v>1030</v>
      </c>
      <c r="C409" s="2" t="s">
        <v>1031</v>
      </c>
      <c r="D409" s="2" t="n">
        <v>2025</v>
      </c>
      <c r="E409" s="2" t="s">
        <v>12</v>
      </c>
      <c r="F409" s="2" t="s">
        <v>26</v>
      </c>
      <c r="G409" s="2" t="s">
        <v>27</v>
      </c>
      <c r="H409" s="2" t="s">
        <v>28</v>
      </c>
      <c r="I409" s="2" t="n">
        <v>4</v>
      </c>
    </row>
    <row r="410" customFormat="false" ht="15" hidden="false" customHeight="false" outlineLevel="0" collapsed="false">
      <c r="A410" s="2" t="s">
        <v>1032</v>
      </c>
      <c r="B410" s="2" t="s">
        <v>1033</v>
      </c>
      <c r="C410" s="2" t="s">
        <v>1031</v>
      </c>
      <c r="D410" s="2" t="n">
        <v>2025</v>
      </c>
      <c r="E410" s="2" t="s">
        <v>12</v>
      </c>
      <c r="F410" s="2" t="s">
        <v>26</v>
      </c>
      <c r="G410" s="2" t="s">
        <v>23</v>
      </c>
      <c r="H410" s="2" t="s">
        <v>28</v>
      </c>
      <c r="I410" s="2" t="n">
        <v>0</v>
      </c>
    </row>
    <row r="411" customFormat="false" ht="15" hidden="false" customHeight="false" outlineLevel="0" collapsed="false">
      <c r="A411" s="2" t="s">
        <v>1034</v>
      </c>
      <c r="B411" s="2" t="s">
        <v>1035</v>
      </c>
      <c r="C411" s="2" t="s">
        <v>1031</v>
      </c>
      <c r="D411" s="2" t="n">
        <v>2025</v>
      </c>
      <c r="E411" s="2" t="s">
        <v>12</v>
      </c>
      <c r="F411" s="2" t="s">
        <v>13</v>
      </c>
      <c r="G411" s="2" t="s">
        <v>23</v>
      </c>
      <c r="H411" s="2" t="s">
        <v>15</v>
      </c>
      <c r="I411" s="2" t="n">
        <v>0</v>
      </c>
    </row>
    <row r="412" customFormat="false" ht="15" hidden="false" customHeight="false" outlineLevel="0" collapsed="false">
      <c r="A412" s="2" t="s">
        <v>1036</v>
      </c>
      <c r="B412" s="2" t="s">
        <v>1037</v>
      </c>
      <c r="C412" s="2" t="s">
        <v>1038</v>
      </c>
      <c r="D412" s="2" t="n">
        <v>2025</v>
      </c>
      <c r="E412" s="2" t="s">
        <v>12</v>
      </c>
      <c r="F412" s="2" t="s">
        <v>55</v>
      </c>
      <c r="G412" s="2" t="s">
        <v>49</v>
      </c>
      <c r="H412" s="2" t="s">
        <v>56</v>
      </c>
      <c r="I412" s="2" t="n">
        <v>0</v>
      </c>
    </row>
    <row r="413" customFormat="false" ht="15" hidden="false" customHeight="false" outlineLevel="0" collapsed="false">
      <c r="A413" s="2" t="s">
        <v>1039</v>
      </c>
      <c r="B413" s="2" t="s">
        <v>1040</v>
      </c>
      <c r="C413" s="2" t="s">
        <v>1041</v>
      </c>
      <c r="D413" s="2" t="n">
        <v>2025</v>
      </c>
      <c r="E413" s="2" t="s">
        <v>46</v>
      </c>
      <c r="F413" s="2" t="s">
        <v>82</v>
      </c>
      <c r="G413" s="2" t="s">
        <v>27</v>
      </c>
      <c r="H413" s="2" t="s">
        <v>83</v>
      </c>
      <c r="I413" s="2" t="n">
        <v>0</v>
      </c>
    </row>
    <row r="414" customFormat="false" ht="15" hidden="false" customHeight="false" outlineLevel="0" collapsed="false">
      <c r="A414" s="2" t="s">
        <v>1042</v>
      </c>
      <c r="B414" s="2" t="s">
        <v>1043</v>
      </c>
      <c r="C414" s="2" t="s">
        <v>1044</v>
      </c>
      <c r="D414" s="2" t="n">
        <v>2025</v>
      </c>
      <c r="E414" s="2" t="s">
        <v>12</v>
      </c>
      <c r="F414" s="2" t="s">
        <v>26</v>
      </c>
      <c r="G414" s="2" t="s">
        <v>52</v>
      </c>
      <c r="H414" s="2" t="s">
        <v>28</v>
      </c>
      <c r="I414" s="2" t="n">
        <v>5</v>
      </c>
    </row>
    <row r="415" customFormat="false" ht="15" hidden="false" customHeight="false" outlineLevel="0" collapsed="false">
      <c r="A415" s="2" t="s">
        <v>1045</v>
      </c>
      <c r="B415" s="2" t="s">
        <v>1046</v>
      </c>
      <c r="C415" s="2" t="s">
        <v>1044</v>
      </c>
      <c r="D415" s="2" t="n">
        <v>2025</v>
      </c>
      <c r="E415" s="2" t="s">
        <v>12</v>
      </c>
      <c r="F415" s="2" t="s">
        <v>82</v>
      </c>
      <c r="G415" s="2" t="s">
        <v>19</v>
      </c>
      <c r="H415" s="2" t="s">
        <v>83</v>
      </c>
      <c r="I415" s="2" t="n">
        <v>3</v>
      </c>
    </row>
    <row r="416" customFormat="false" ht="15" hidden="false" customHeight="false" outlineLevel="0" collapsed="false">
      <c r="A416" s="2" t="s">
        <v>1047</v>
      </c>
      <c r="B416" s="2" t="s">
        <v>746</v>
      </c>
      <c r="C416" s="2" t="s">
        <v>1044</v>
      </c>
      <c r="D416" s="2" t="n">
        <v>2025</v>
      </c>
      <c r="E416" s="2" t="s">
        <v>12</v>
      </c>
      <c r="F416" s="2" t="s">
        <v>146</v>
      </c>
      <c r="G416" s="2" t="s">
        <v>34</v>
      </c>
      <c r="H416" s="2" t="s">
        <v>147</v>
      </c>
      <c r="I416" s="2" t="n">
        <v>0</v>
      </c>
    </row>
    <row r="417" customFormat="false" ht="15" hidden="false" customHeight="false" outlineLevel="0" collapsed="false">
      <c r="A417" s="2" t="s">
        <v>1048</v>
      </c>
      <c r="B417" s="2" t="s">
        <v>1049</v>
      </c>
      <c r="C417" s="2" t="s">
        <v>1044</v>
      </c>
      <c r="D417" s="2" t="n">
        <v>2025</v>
      </c>
      <c r="E417" s="2" t="s">
        <v>40</v>
      </c>
      <c r="F417" s="2" t="s">
        <v>155</v>
      </c>
      <c r="G417" s="2" t="s">
        <v>49</v>
      </c>
      <c r="H417" s="2" t="s">
        <v>156</v>
      </c>
      <c r="I417" s="2" t="n">
        <v>0</v>
      </c>
    </row>
    <row r="418" customFormat="false" ht="15" hidden="false" customHeight="false" outlineLevel="0" collapsed="false">
      <c r="A418" s="2" t="s">
        <v>1050</v>
      </c>
      <c r="B418" s="2" t="s">
        <v>1051</v>
      </c>
      <c r="C418" s="2" t="s">
        <v>1052</v>
      </c>
      <c r="D418" s="2" t="n">
        <v>2025</v>
      </c>
      <c r="E418" s="2" t="s">
        <v>12</v>
      </c>
      <c r="F418" s="2" t="s">
        <v>64</v>
      </c>
      <c r="G418" s="2" t="s">
        <v>73</v>
      </c>
      <c r="H418" s="2" t="s">
        <v>65</v>
      </c>
      <c r="I418" s="2" t="n">
        <v>0</v>
      </c>
    </row>
    <row r="419" customFormat="false" ht="15" hidden="false" customHeight="false" outlineLevel="0" collapsed="false">
      <c r="A419" s="2" t="s">
        <v>1053</v>
      </c>
      <c r="B419" s="2" t="s">
        <v>1054</v>
      </c>
      <c r="C419" s="2" t="s">
        <v>1055</v>
      </c>
      <c r="D419" s="2" t="n">
        <v>2025</v>
      </c>
      <c r="E419" s="2" t="s">
        <v>40</v>
      </c>
      <c r="F419" s="2" t="s">
        <v>13</v>
      </c>
      <c r="G419" s="2" t="s">
        <v>37</v>
      </c>
      <c r="H419" s="2" t="s">
        <v>15</v>
      </c>
      <c r="I419" s="2" t="n">
        <v>0</v>
      </c>
    </row>
    <row r="420" customFormat="false" ht="15" hidden="false" customHeight="false" outlineLevel="0" collapsed="false">
      <c r="A420" s="2" t="s">
        <v>1056</v>
      </c>
      <c r="B420" s="2" t="s">
        <v>1057</v>
      </c>
      <c r="C420" s="2" t="s">
        <v>1058</v>
      </c>
      <c r="D420" s="2" t="n">
        <v>2025</v>
      </c>
      <c r="E420" s="2" t="s">
        <v>12</v>
      </c>
      <c r="F420" s="2" t="s">
        <v>26</v>
      </c>
      <c r="G420" s="2" t="s">
        <v>52</v>
      </c>
      <c r="H420" s="2" t="s">
        <v>28</v>
      </c>
      <c r="I420" s="2" t="n">
        <v>0</v>
      </c>
    </row>
    <row r="421" customFormat="false" ht="15" hidden="false" customHeight="false" outlineLevel="0" collapsed="false">
      <c r="A421" s="2" t="s">
        <v>1059</v>
      </c>
      <c r="B421" s="2" t="s">
        <v>1060</v>
      </c>
      <c r="C421" s="2" t="s">
        <v>1061</v>
      </c>
      <c r="D421" s="2" t="n">
        <v>2025</v>
      </c>
      <c r="E421" s="2" t="s">
        <v>46</v>
      </c>
      <c r="F421" s="2" t="s">
        <v>26</v>
      </c>
      <c r="G421" s="2" t="s">
        <v>27</v>
      </c>
      <c r="H421" s="2" t="s">
        <v>28</v>
      </c>
      <c r="I421" s="2" t="n">
        <v>0</v>
      </c>
    </row>
    <row r="422" customFormat="false" ht="15" hidden="false" customHeight="false" outlineLevel="0" collapsed="false">
      <c r="A422" s="2" t="s">
        <v>1062</v>
      </c>
      <c r="B422" s="2" t="s">
        <v>1063</v>
      </c>
      <c r="C422" s="2" t="s">
        <v>1064</v>
      </c>
      <c r="D422" s="2" t="n">
        <v>2025</v>
      </c>
      <c r="E422" s="2" t="s">
        <v>12</v>
      </c>
      <c r="F422" s="2" t="s">
        <v>64</v>
      </c>
      <c r="G422" s="2" t="s">
        <v>107</v>
      </c>
      <c r="H422" s="2" t="s">
        <v>65</v>
      </c>
      <c r="I422" s="2" t="n">
        <v>0</v>
      </c>
    </row>
    <row r="423" customFormat="false" ht="15" hidden="false" customHeight="false" outlineLevel="0" collapsed="false">
      <c r="A423" s="2" t="s">
        <v>1065</v>
      </c>
      <c r="B423" s="2" t="s">
        <v>1066</v>
      </c>
      <c r="C423" s="2" t="s">
        <v>1067</v>
      </c>
      <c r="D423" s="2" t="n">
        <v>2025</v>
      </c>
      <c r="E423" s="2" t="s">
        <v>12</v>
      </c>
      <c r="F423" s="2" t="s">
        <v>155</v>
      </c>
      <c r="G423" s="2" t="s">
        <v>34</v>
      </c>
      <c r="H423" s="2" t="s">
        <v>156</v>
      </c>
      <c r="I423" s="2" t="n">
        <v>0</v>
      </c>
    </row>
    <row r="424" customFormat="false" ht="15" hidden="false" customHeight="false" outlineLevel="0" collapsed="false">
      <c r="A424" s="2" t="s">
        <v>1068</v>
      </c>
      <c r="B424" s="2" t="s">
        <v>1069</v>
      </c>
      <c r="C424" s="2" t="s">
        <v>1070</v>
      </c>
      <c r="D424" s="2" t="n">
        <v>2025</v>
      </c>
      <c r="E424" s="2" t="s">
        <v>12</v>
      </c>
      <c r="F424" s="2" t="s">
        <v>64</v>
      </c>
      <c r="G424" s="2" t="s">
        <v>52</v>
      </c>
      <c r="H424" s="2" t="s">
        <v>174</v>
      </c>
      <c r="I424" s="2" t="n">
        <v>0</v>
      </c>
    </row>
    <row r="425" customFormat="false" ht="15" hidden="false" customHeight="false" outlineLevel="0" collapsed="false">
      <c r="A425" s="2" t="s">
        <v>1071</v>
      </c>
      <c r="B425" s="2" t="s">
        <v>1072</v>
      </c>
      <c r="C425" s="2" t="s">
        <v>1073</v>
      </c>
      <c r="D425" s="2" t="n">
        <v>2025</v>
      </c>
      <c r="E425" s="2" t="s">
        <v>46</v>
      </c>
      <c r="F425" s="2" t="s">
        <v>26</v>
      </c>
      <c r="G425" s="2" t="s">
        <v>49</v>
      </c>
      <c r="H425" s="2" t="s">
        <v>28</v>
      </c>
      <c r="I425" s="2" t="n">
        <v>0</v>
      </c>
    </row>
    <row r="426" customFormat="false" ht="15" hidden="false" customHeight="false" outlineLevel="0" collapsed="false">
      <c r="A426" s="2" t="s">
        <v>1074</v>
      </c>
      <c r="B426" s="2" t="s">
        <v>1075</v>
      </c>
      <c r="C426" s="2" t="s">
        <v>1076</v>
      </c>
      <c r="D426" s="2" t="n">
        <v>2025</v>
      </c>
      <c r="E426" s="2" t="s">
        <v>12</v>
      </c>
      <c r="F426" s="2" t="s">
        <v>18</v>
      </c>
      <c r="G426" s="2" t="s">
        <v>49</v>
      </c>
      <c r="H426" s="2" t="s">
        <v>20</v>
      </c>
      <c r="I426" s="2" t="n">
        <v>0</v>
      </c>
    </row>
    <row r="427" customFormat="false" ht="15" hidden="false" customHeight="false" outlineLevel="0" collapsed="false">
      <c r="A427" s="2" t="s">
        <v>1077</v>
      </c>
      <c r="B427" s="2" t="s">
        <v>1078</v>
      </c>
      <c r="C427" s="2" t="s">
        <v>1076</v>
      </c>
      <c r="D427" s="2" t="n">
        <v>2025</v>
      </c>
      <c r="E427" s="2" t="s">
        <v>12</v>
      </c>
      <c r="F427" s="2" t="s">
        <v>13</v>
      </c>
      <c r="G427" s="2" t="s">
        <v>27</v>
      </c>
      <c r="H427" s="2" t="s">
        <v>15</v>
      </c>
      <c r="I427" s="2" t="n">
        <v>3</v>
      </c>
    </row>
    <row r="428" customFormat="false" ht="15" hidden="false" customHeight="false" outlineLevel="0" collapsed="false">
      <c r="A428" s="2" t="s">
        <v>1079</v>
      </c>
      <c r="B428" s="2" t="s">
        <v>1080</v>
      </c>
      <c r="C428" s="2" t="s">
        <v>1081</v>
      </c>
      <c r="D428" s="2" t="n">
        <v>2025</v>
      </c>
      <c r="E428" s="2" t="s">
        <v>46</v>
      </c>
      <c r="F428" s="2" t="s">
        <v>26</v>
      </c>
      <c r="G428" s="2" t="s">
        <v>107</v>
      </c>
      <c r="H428" s="2" t="s">
        <v>28</v>
      </c>
      <c r="I428" s="2" t="n">
        <v>0</v>
      </c>
    </row>
    <row r="429" customFormat="false" ht="15" hidden="false" customHeight="false" outlineLevel="0" collapsed="false">
      <c r="A429" s="2" t="s">
        <v>1082</v>
      </c>
      <c r="B429" s="2" t="s">
        <v>1083</v>
      </c>
      <c r="C429" s="2" t="s">
        <v>1084</v>
      </c>
      <c r="D429" s="2" t="n">
        <v>2025</v>
      </c>
      <c r="E429" s="2" t="s">
        <v>12</v>
      </c>
      <c r="F429" s="2" t="s">
        <v>13</v>
      </c>
      <c r="G429" s="2" t="s">
        <v>23</v>
      </c>
      <c r="H429" s="2" t="s">
        <v>15</v>
      </c>
      <c r="I429" s="2" t="n">
        <v>0</v>
      </c>
    </row>
    <row r="430" customFormat="false" ht="15" hidden="false" customHeight="false" outlineLevel="0" collapsed="false">
      <c r="A430" s="2" t="s">
        <v>1085</v>
      </c>
      <c r="B430" s="2" t="s">
        <v>1086</v>
      </c>
      <c r="C430" s="2" t="s">
        <v>1084</v>
      </c>
      <c r="D430" s="2" t="n">
        <v>2025</v>
      </c>
      <c r="E430" s="2" t="s">
        <v>12</v>
      </c>
      <c r="F430" s="2" t="s">
        <v>13</v>
      </c>
      <c r="G430" s="2" t="s">
        <v>37</v>
      </c>
      <c r="H430" s="2" t="s">
        <v>15</v>
      </c>
      <c r="I430" s="2" t="n">
        <v>2</v>
      </c>
    </row>
    <row r="431" customFormat="false" ht="15" hidden="false" customHeight="false" outlineLevel="0" collapsed="false">
      <c r="A431" s="2" t="s">
        <v>1087</v>
      </c>
      <c r="B431" s="2" t="s">
        <v>1088</v>
      </c>
      <c r="C431" s="2" t="s">
        <v>1089</v>
      </c>
      <c r="D431" s="2" t="n">
        <v>2025</v>
      </c>
      <c r="E431" s="2" t="s">
        <v>12</v>
      </c>
      <c r="F431" s="2" t="s">
        <v>26</v>
      </c>
      <c r="G431" s="2" t="s">
        <v>27</v>
      </c>
      <c r="H431" s="2" t="s">
        <v>28</v>
      </c>
      <c r="I431" s="2" t="n">
        <v>4</v>
      </c>
    </row>
    <row r="432" customFormat="false" ht="15" hidden="false" customHeight="false" outlineLevel="0" collapsed="false">
      <c r="A432" s="2" t="s">
        <v>1090</v>
      </c>
      <c r="B432" s="2" t="s">
        <v>1091</v>
      </c>
      <c r="C432" s="2" t="s">
        <v>1089</v>
      </c>
      <c r="D432" s="2" t="n">
        <v>2025</v>
      </c>
      <c r="E432" s="2" t="s">
        <v>12</v>
      </c>
      <c r="F432" s="2" t="s">
        <v>146</v>
      </c>
      <c r="G432" s="2" t="s">
        <v>23</v>
      </c>
      <c r="H432" s="2" t="s">
        <v>147</v>
      </c>
      <c r="I432" s="2" t="n">
        <v>1</v>
      </c>
    </row>
    <row r="433" customFormat="false" ht="15" hidden="false" customHeight="false" outlineLevel="0" collapsed="false">
      <c r="A433" s="2" t="s">
        <v>1092</v>
      </c>
      <c r="B433" s="2" t="s">
        <v>1093</v>
      </c>
      <c r="C433" s="2" t="s">
        <v>1094</v>
      </c>
      <c r="D433" s="2" t="n">
        <v>2025</v>
      </c>
      <c r="E433" s="2" t="s">
        <v>726</v>
      </c>
      <c r="F433" s="2" t="s">
        <v>1095</v>
      </c>
      <c r="G433" s="2" t="s">
        <v>27</v>
      </c>
      <c r="H433" s="2" t="s">
        <v>1096</v>
      </c>
      <c r="I433" s="2" t="n">
        <v>0</v>
      </c>
    </row>
    <row r="434" customFormat="false" ht="15" hidden="false" customHeight="false" outlineLevel="0" collapsed="false">
      <c r="A434" s="2" t="s">
        <v>1097</v>
      </c>
      <c r="B434" s="2" t="s">
        <v>1098</v>
      </c>
      <c r="C434" s="2" t="s">
        <v>1099</v>
      </c>
      <c r="D434" s="2" t="n">
        <v>2025</v>
      </c>
      <c r="E434" s="2" t="s">
        <v>12</v>
      </c>
      <c r="F434" s="2" t="s">
        <v>18</v>
      </c>
      <c r="G434" s="2" t="s">
        <v>49</v>
      </c>
      <c r="H434" s="2" t="s">
        <v>20</v>
      </c>
      <c r="I434" s="2" t="n">
        <v>3</v>
      </c>
    </row>
    <row r="435" customFormat="false" ht="15" hidden="false" customHeight="false" outlineLevel="0" collapsed="false">
      <c r="A435" s="2" t="s">
        <v>1100</v>
      </c>
      <c r="B435" s="2" t="s">
        <v>1101</v>
      </c>
      <c r="C435" s="2" t="s">
        <v>1099</v>
      </c>
      <c r="D435" s="2" t="n">
        <v>2025</v>
      </c>
      <c r="E435" s="2" t="s">
        <v>12</v>
      </c>
      <c r="F435" s="2" t="s">
        <v>155</v>
      </c>
      <c r="G435" s="2" t="s">
        <v>34</v>
      </c>
      <c r="H435" s="2" t="s">
        <v>987</v>
      </c>
      <c r="I435" s="2" t="n">
        <v>2</v>
      </c>
    </row>
    <row r="436" customFormat="false" ht="15" hidden="false" customHeight="false" outlineLevel="0" collapsed="false">
      <c r="A436" s="2" t="s">
        <v>1102</v>
      </c>
      <c r="B436" s="2" t="s">
        <v>1103</v>
      </c>
      <c r="C436" s="2" t="s">
        <v>1104</v>
      </c>
      <c r="D436" s="2" t="n">
        <v>2025</v>
      </c>
      <c r="E436" s="2" t="s">
        <v>12</v>
      </c>
      <c r="F436" s="2" t="s">
        <v>908</v>
      </c>
      <c r="G436" s="2" t="s">
        <v>52</v>
      </c>
      <c r="H436" s="2" t="s">
        <v>909</v>
      </c>
      <c r="I436" s="2" t="n">
        <v>0</v>
      </c>
    </row>
    <row r="437" customFormat="false" ht="15" hidden="false" customHeight="false" outlineLevel="0" collapsed="false">
      <c r="A437" s="2" t="s">
        <v>1105</v>
      </c>
      <c r="B437" s="2" t="s">
        <v>1106</v>
      </c>
      <c r="C437" s="2" t="s">
        <v>1107</v>
      </c>
      <c r="D437" s="2" t="n">
        <v>2025</v>
      </c>
      <c r="E437" s="2" t="s">
        <v>12</v>
      </c>
      <c r="F437" s="2" t="s">
        <v>26</v>
      </c>
      <c r="G437" s="2" t="s">
        <v>52</v>
      </c>
      <c r="H437" s="2" t="s">
        <v>28</v>
      </c>
      <c r="I437" s="2" t="n">
        <v>1</v>
      </c>
    </row>
    <row r="438" customFormat="false" ht="15" hidden="false" customHeight="false" outlineLevel="0" collapsed="false">
      <c r="A438" s="2" t="s">
        <v>1108</v>
      </c>
      <c r="B438" s="2" t="s">
        <v>1109</v>
      </c>
      <c r="C438" s="2" t="s">
        <v>1107</v>
      </c>
      <c r="D438" s="2" t="n">
        <v>2025</v>
      </c>
      <c r="E438" s="2" t="s">
        <v>12</v>
      </c>
      <c r="F438" s="2" t="s">
        <v>13</v>
      </c>
      <c r="G438" s="2" t="s">
        <v>73</v>
      </c>
      <c r="H438" s="2" t="s">
        <v>15</v>
      </c>
      <c r="I438" s="2" t="n">
        <v>3</v>
      </c>
    </row>
    <row r="439" customFormat="false" ht="15" hidden="false" customHeight="false" outlineLevel="0" collapsed="false">
      <c r="A439" s="2" t="s">
        <v>1110</v>
      </c>
      <c r="B439" s="2" t="s">
        <v>1111</v>
      </c>
      <c r="C439" s="2" t="s">
        <v>1112</v>
      </c>
      <c r="D439" s="2" t="n">
        <v>2025</v>
      </c>
      <c r="E439" s="2" t="s">
        <v>12</v>
      </c>
      <c r="F439" s="2" t="s">
        <v>64</v>
      </c>
      <c r="G439" s="2" t="s">
        <v>52</v>
      </c>
      <c r="H439" s="2" t="s">
        <v>65</v>
      </c>
      <c r="I439" s="2" t="n">
        <v>9</v>
      </c>
    </row>
    <row r="440" customFormat="false" ht="15" hidden="false" customHeight="false" outlineLevel="0" collapsed="false">
      <c r="A440" s="2" t="s">
        <v>1113</v>
      </c>
      <c r="B440" s="2" t="s">
        <v>1114</v>
      </c>
      <c r="C440" s="2" t="s">
        <v>1115</v>
      </c>
      <c r="D440" s="2" t="n">
        <v>2025</v>
      </c>
      <c r="E440" s="2" t="s">
        <v>12</v>
      </c>
      <c r="F440" s="2" t="s">
        <v>82</v>
      </c>
      <c r="G440" s="2" t="s">
        <v>37</v>
      </c>
      <c r="H440" s="2" t="s">
        <v>83</v>
      </c>
      <c r="I440" s="2" t="n">
        <v>5</v>
      </c>
    </row>
    <row r="441" customFormat="false" ht="15" hidden="false" customHeight="false" outlineLevel="0" collapsed="false">
      <c r="A441" s="2" t="s">
        <v>1116</v>
      </c>
      <c r="B441" s="2" t="s">
        <v>1117</v>
      </c>
      <c r="C441" s="2" t="s">
        <v>1115</v>
      </c>
      <c r="D441" s="2" t="n">
        <v>2025</v>
      </c>
      <c r="E441" s="2" t="s">
        <v>12</v>
      </c>
      <c r="F441" s="2" t="s">
        <v>325</v>
      </c>
      <c r="G441" s="2" t="s">
        <v>49</v>
      </c>
      <c r="H441" s="2" t="s">
        <v>326</v>
      </c>
      <c r="I441" s="2" t="n">
        <v>0</v>
      </c>
    </row>
    <row r="442" customFormat="false" ht="15" hidden="false" customHeight="false" outlineLevel="0" collapsed="false">
      <c r="A442" s="2" t="s">
        <v>1118</v>
      </c>
      <c r="B442" s="2" t="s">
        <v>1119</v>
      </c>
      <c r="C442" s="2" t="s">
        <v>1115</v>
      </c>
      <c r="D442" s="2" t="n">
        <v>2025</v>
      </c>
      <c r="E442" s="2" t="s">
        <v>12</v>
      </c>
      <c r="F442" s="2" t="s">
        <v>13</v>
      </c>
      <c r="G442" s="2" t="s">
        <v>73</v>
      </c>
      <c r="H442" s="2" t="s">
        <v>15</v>
      </c>
      <c r="I442" s="2" t="n">
        <v>2</v>
      </c>
    </row>
    <row r="443" customFormat="false" ht="15" hidden="false" customHeight="false" outlineLevel="0" collapsed="false">
      <c r="A443" s="2" t="s">
        <v>1120</v>
      </c>
      <c r="B443" s="2" t="s">
        <v>1121</v>
      </c>
      <c r="C443" s="2" t="s">
        <v>1115</v>
      </c>
      <c r="D443" s="2" t="n">
        <v>2025</v>
      </c>
      <c r="E443" s="2" t="s">
        <v>12</v>
      </c>
      <c r="F443" s="2" t="s">
        <v>64</v>
      </c>
      <c r="G443" s="2" t="s">
        <v>52</v>
      </c>
      <c r="H443" s="2" t="s">
        <v>65</v>
      </c>
      <c r="I443" s="2" t="n">
        <v>9</v>
      </c>
    </row>
    <row r="444" customFormat="false" ht="15" hidden="false" customHeight="false" outlineLevel="0" collapsed="false">
      <c r="A444" s="2" t="s">
        <v>1122</v>
      </c>
      <c r="B444" s="2" t="s">
        <v>1123</v>
      </c>
      <c r="C444" s="2" t="s">
        <v>1124</v>
      </c>
      <c r="D444" s="2" t="n">
        <v>2025</v>
      </c>
      <c r="E444" s="2" t="s">
        <v>46</v>
      </c>
      <c r="F444" s="2" t="s">
        <v>26</v>
      </c>
      <c r="G444" s="2" t="s">
        <v>27</v>
      </c>
      <c r="H444" s="2" t="s">
        <v>28</v>
      </c>
      <c r="I444" s="2" t="n">
        <v>0</v>
      </c>
    </row>
    <row r="445" customFormat="false" ht="15" hidden="false" customHeight="false" outlineLevel="0" collapsed="false">
      <c r="A445" s="2" t="s">
        <v>1125</v>
      </c>
      <c r="B445" s="2" t="s">
        <v>1126</v>
      </c>
      <c r="C445" s="2" t="s">
        <v>1127</v>
      </c>
      <c r="D445" s="2" t="n">
        <v>2025</v>
      </c>
      <c r="E445" s="2" t="s">
        <v>12</v>
      </c>
      <c r="F445" s="2" t="s">
        <v>64</v>
      </c>
      <c r="G445" s="2" t="s">
        <v>52</v>
      </c>
      <c r="H445" s="2" t="s">
        <v>65</v>
      </c>
      <c r="I445" s="2" t="n">
        <v>0</v>
      </c>
    </row>
    <row r="446" customFormat="false" ht="15" hidden="false" customHeight="false" outlineLevel="0" collapsed="false">
      <c r="A446" s="2" t="s">
        <v>1128</v>
      </c>
      <c r="B446" s="2" t="s">
        <v>1129</v>
      </c>
      <c r="C446" s="2" t="s">
        <v>1127</v>
      </c>
      <c r="D446" s="2" t="n">
        <v>2025</v>
      </c>
      <c r="E446" s="2" t="s">
        <v>12</v>
      </c>
      <c r="F446" s="2" t="s">
        <v>13</v>
      </c>
      <c r="G446" s="2" t="s">
        <v>73</v>
      </c>
      <c r="H446" s="2" t="s">
        <v>15</v>
      </c>
      <c r="I446" s="2" t="n">
        <v>5</v>
      </c>
    </row>
    <row r="447" customFormat="false" ht="15" hidden="false" customHeight="false" outlineLevel="0" collapsed="false">
      <c r="A447" s="2" t="s">
        <v>1130</v>
      </c>
      <c r="B447" s="2" t="s">
        <v>1131</v>
      </c>
      <c r="C447" s="2" t="s">
        <v>1132</v>
      </c>
      <c r="D447" s="2" t="n">
        <v>2025</v>
      </c>
      <c r="E447" s="2" t="s">
        <v>46</v>
      </c>
      <c r="F447" s="2" t="s">
        <v>26</v>
      </c>
      <c r="G447" s="2" t="s">
        <v>52</v>
      </c>
      <c r="H447" s="2" t="s">
        <v>28</v>
      </c>
      <c r="I447" s="2" t="n">
        <v>0</v>
      </c>
    </row>
    <row r="448" customFormat="false" ht="15" hidden="false" customHeight="false" outlineLevel="0" collapsed="false">
      <c r="A448" s="2" t="s">
        <v>1133</v>
      </c>
      <c r="B448" s="2" t="s">
        <v>1134</v>
      </c>
      <c r="C448" s="2" t="s">
        <v>1135</v>
      </c>
      <c r="D448" s="2" t="n">
        <v>2025</v>
      </c>
      <c r="E448" s="2" t="s">
        <v>12</v>
      </c>
      <c r="F448" s="2" t="s">
        <v>64</v>
      </c>
      <c r="G448" s="2" t="s">
        <v>52</v>
      </c>
      <c r="H448" s="2" t="s">
        <v>65</v>
      </c>
      <c r="I448" s="2" t="n">
        <v>7</v>
      </c>
    </row>
    <row r="449" customFormat="false" ht="15" hidden="false" customHeight="false" outlineLevel="0" collapsed="false">
      <c r="A449" s="2" t="s">
        <v>1136</v>
      </c>
      <c r="B449" s="2" t="s">
        <v>1137</v>
      </c>
      <c r="C449" s="2" t="s">
        <v>1138</v>
      </c>
      <c r="D449" s="2" t="n">
        <v>2025</v>
      </c>
      <c r="E449" s="2" t="s">
        <v>12</v>
      </c>
      <c r="F449" s="2" t="s">
        <v>82</v>
      </c>
      <c r="G449" s="2" t="s">
        <v>37</v>
      </c>
      <c r="H449" s="2" t="s">
        <v>83</v>
      </c>
      <c r="I449" s="2" t="n">
        <v>1</v>
      </c>
    </row>
    <row r="450" customFormat="false" ht="15" hidden="false" customHeight="false" outlineLevel="0" collapsed="false">
      <c r="A450" s="2" t="s">
        <v>1139</v>
      </c>
      <c r="B450" s="2" t="s">
        <v>1140</v>
      </c>
      <c r="C450" s="2" t="s">
        <v>1141</v>
      </c>
      <c r="D450" s="2" t="n">
        <v>2025</v>
      </c>
      <c r="E450" s="2" t="s">
        <v>12</v>
      </c>
      <c r="F450" s="2" t="s">
        <v>146</v>
      </c>
      <c r="G450" s="2" t="s">
        <v>52</v>
      </c>
      <c r="H450" s="2" t="s">
        <v>147</v>
      </c>
      <c r="I450" s="2" t="n">
        <v>0</v>
      </c>
    </row>
    <row r="451" customFormat="false" ht="15" hidden="false" customHeight="false" outlineLevel="0" collapsed="false">
      <c r="A451" s="2" t="s">
        <v>1142</v>
      </c>
      <c r="B451" s="2" t="s">
        <v>1143</v>
      </c>
      <c r="C451" s="2" t="s">
        <v>1141</v>
      </c>
      <c r="D451" s="2" t="n">
        <v>2025</v>
      </c>
      <c r="E451" s="2" t="s">
        <v>12</v>
      </c>
      <c r="F451" s="2" t="s">
        <v>64</v>
      </c>
      <c r="G451" s="2" t="s">
        <v>52</v>
      </c>
      <c r="H451" s="2" t="s">
        <v>65</v>
      </c>
      <c r="I451" s="2" t="n">
        <v>2</v>
      </c>
    </row>
    <row r="452" customFormat="false" ht="15" hidden="false" customHeight="false" outlineLevel="0" collapsed="false">
      <c r="A452" s="2" t="s">
        <v>1144</v>
      </c>
      <c r="B452" s="2" t="s">
        <v>1145</v>
      </c>
      <c r="C452" s="2" t="s">
        <v>1141</v>
      </c>
      <c r="D452" s="2" t="n">
        <v>2025</v>
      </c>
      <c r="E452" s="2" t="s">
        <v>12</v>
      </c>
      <c r="F452" s="2" t="s">
        <v>26</v>
      </c>
      <c r="G452" s="2" t="s">
        <v>14</v>
      </c>
      <c r="H452" s="2" t="s">
        <v>28</v>
      </c>
      <c r="I452" s="2" t="n">
        <v>0</v>
      </c>
    </row>
    <row r="453" customFormat="false" ht="15" hidden="false" customHeight="false" outlineLevel="0" collapsed="false">
      <c r="A453" s="2" t="s">
        <v>1146</v>
      </c>
      <c r="B453" s="2" t="s">
        <v>1147</v>
      </c>
      <c r="C453" s="2" t="s">
        <v>1141</v>
      </c>
      <c r="D453" s="2" t="n">
        <v>2025</v>
      </c>
      <c r="E453" s="2" t="s">
        <v>12</v>
      </c>
      <c r="F453" s="2" t="s">
        <v>64</v>
      </c>
      <c r="G453" s="2" t="s">
        <v>49</v>
      </c>
      <c r="H453" s="2" t="s">
        <v>65</v>
      </c>
      <c r="I453" s="2" t="n">
        <v>1</v>
      </c>
    </row>
    <row r="454" customFormat="false" ht="15" hidden="false" customHeight="false" outlineLevel="0" collapsed="false">
      <c r="A454" s="2" t="s">
        <v>1148</v>
      </c>
      <c r="B454" s="2" t="s">
        <v>1149</v>
      </c>
      <c r="C454" s="2" t="s">
        <v>1141</v>
      </c>
      <c r="D454" s="2" t="n">
        <v>2025</v>
      </c>
      <c r="E454" s="2" t="s">
        <v>12</v>
      </c>
      <c r="F454" s="2" t="s">
        <v>908</v>
      </c>
      <c r="G454" s="2" t="s">
        <v>34</v>
      </c>
      <c r="H454" s="2" t="s">
        <v>909</v>
      </c>
      <c r="I454" s="2" t="n">
        <v>0</v>
      </c>
    </row>
    <row r="455" customFormat="false" ht="15" hidden="false" customHeight="false" outlineLevel="0" collapsed="false">
      <c r="A455" s="2" t="s">
        <v>1150</v>
      </c>
      <c r="B455" s="2" t="s">
        <v>1151</v>
      </c>
      <c r="C455" s="2" t="s">
        <v>1141</v>
      </c>
      <c r="D455" s="2" t="n">
        <v>2025</v>
      </c>
      <c r="E455" s="2" t="s">
        <v>12</v>
      </c>
      <c r="F455" s="2" t="s">
        <v>64</v>
      </c>
      <c r="G455" s="2" t="s">
        <v>73</v>
      </c>
      <c r="H455" s="2" t="s">
        <v>65</v>
      </c>
      <c r="I455" s="2" t="n">
        <v>12</v>
      </c>
    </row>
    <row r="456" customFormat="false" ht="15" hidden="false" customHeight="false" outlineLevel="0" collapsed="false">
      <c r="A456" s="2" t="s">
        <v>1152</v>
      </c>
      <c r="B456" s="2" t="s">
        <v>1153</v>
      </c>
      <c r="C456" s="2" t="s">
        <v>1154</v>
      </c>
      <c r="D456" s="2" t="n">
        <v>2025</v>
      </c>
      <c r="E456" s="2" t="s">
        <v>46</v>
      </c>
      <c r="F456" s="2" t="s">
        <v>26</v>
      </c>
      <c r="G456" s="2" t="s">
        <v>27</v>
      </c>
      <c r="H456" s="2" t="s">
        <v>28</v>
      </c>
      <c r="I456" s="2" t="n">
        <v>0</v>
      </c>
    </row>
    <row r="457" customFormat="false" ht="15" hidden="false" customHeight="false" outlineLevel="0" collapsed="false">
      <c r="A457" s="2" t="s">
        <v>1155</v>
      </c>
      <c r="B457" s="2" t="s">
        <v>1156</v>
      </c>
      <c r="C457" s="2" t="s">
        <v>1157</v>
      </c>
      <c r="D457" s="2" t="n">
        <v>2025</v>
      </c>
      <c r="E457" s="2" t="s">
        <v>12</v>
      </c>
      <c r="F457" s="2" t="s">
        <v>908</v>
      </c>
      <c r="G457" s="2" t="s">
        <v>23</v>
      </c>
      <c r="H457" s="2" t="s">
        <v>909</v>
      </c>
      <c r="I457" s="2" t="n">
        <v>1</v>
      </c>
    </row>
    <row r="458" customFormat="false" ht="15" hidden="false" customHeight="false" outlineLevel="0" collapsed="false">
      <c r="A458" s="2" t="s">
        <v>1158</v>
      </c>
      <c r="B458" s="2" t="s">
        <v>1159</v>
      </c>
      <c r="C458" s="2" t="s">
        <v>1160</v>
      </c>
      <c r="D458" s="2" t="n">
        <v>2025</v>
      </c>
      <c r="E458" s="2" t="s">
        <v>12</v>
      </c>
      <c r="F458" s="2" t="s">
        <v>82</v>
      </c>
      <c r="G458" s="2" t="s">
        <v>23</v>
      </c>
      <c r="H458" s="2" t="s">
        <v>83</v>
      </c>
      <c r="I458" s="2" t="n">
        <v>1</v>
      </c>
    </row>
    <row r="459" customFormat="false" ht="15" hidden="false" customHeight="false" outlineLevel="0" collapsed="false">
      <c r="A459" s="2" t="s">
        <v>1161</v>
      </c>
      <c r="B459" s="2" t="s">
        <v>1162</v>
      </c>
      <c r="C459" s="2" t="s">
        <v>1160</v>
      </c>
      <c r="D459" s="2" t="n">
        <v>2025</v>
      </c>
      <c r="E459" s="2" t="s">
        <v>12</v>
      </c>
      <c r="F459" s="2" t="s">
        <v>82</v>
      </c>
      <c r="G459" s="2" t="s">
        <v>37</v>
      </c>
      <c r="H459" s="2" t="s">
        <v>83</v>
      </c>
      <c r="I459" s="2" t="n">
        <v>3</v>
      </c>
    </row>
    <row r="460" customFormat="false" ht="15" hidden="false" customHeight="false" outlineLevel="0" collapsed="false">
      <c r="A460" s="2" t="s">
        <v>1163</v>
      </c>
      <c r="B460" s="2" t="s">
        <v>1164</v>
      </c>
      <c r="C460" s="2" t="s">
        <v>1165</v>
      </c>
      <c r="D460" s="2" t="n">
        <v>2025</v>
      </c>
      <c r="E460" s="2" t="s">
        <v>46</v>
      </c>
      <c r="F460" s="2" t="s">
        <v>26</v>
      </c>
      <c r="G460" s="2" t="s">
        <v>27</v>
      </c>
      <c r="H460" s="2" t="s">
        <v>28</v>
      </c>
      <c r="I460" s="2" t="n">
        <v>0</v>
      </c>
    </row>
    <row r="461" customFormat="false" ht="15" hidden="false" customHeight="false" outlineLevel="0" collapsed="false">
      <c r="A461" s="2" t="s">
        <v>1166</v>
      </c>
      <c r="B461" s="2" t="s">
        <v>1167</v>
      </c>
      <c r="C461" s="2" t="s">
        <v>1168</v>
      </c>
      <c r="D461" s="2" t="n">
        <v>2024</v>
      </c>
      <c r="E461" s="2" t="s">
        <v>12</v>
      </c>
      <c r="F461" s="2" t="s">
        <v>26</v>
      </c>
      <c r="G461" s="2" t="s">
        <v>34</v>
      </c>
      <c r="H461" s="2" t="s">
        <v>28</v>
      </c>
      <c r="I461" s="2" t="n">
        <v>3</v>
      </c>
    </row>
    <row r="462" customFormat="false" ht="15" hidden="false" customHeight="false" outlineLevel="0" collapsed="false">
      <c r="A462" s="2" t="s">
        <v>1169</v>
      </c>
      <c r="B462" s="2" t="s">
        <v>1170</v>
      </c>
      <c r="C462" s="2" t="s">
        <v>1168</v>
      </c>
      <c r="D462" s="2" t="n">
        <v>2024</v>
      </c>
      <c r="E462" s="2" t="s">
        <v>12</v>
      </c>
      <c r="F462" s="2" t="s">
        <v>26</v>
      </c>
      <c r="G462" s="2" t="s">
        <v>34</v>
      </c>
      <c r="H462" s="2" t="s">
        <v>28</v>
      </c>
      <c r="I462" s="2" t="n">
        <v>3</v>
      </c>
    </row>
    <row r="463" customFormat="false" ht="15" hidden="false" customHeight="false" outlineLevel="0" collapsed="false">
      <c r="A463" s="2" t="s">
        <v>1171</v>
      </c>
      <c r="B463" s="2" t="s">
        <v>1172</v>
      </c>
      <c r="C463" s="2" t="s">
        <v>1173</v>
      </c>
      <c r="D463" s="2" t="n">
        <v>2024</v>
      </c>
      <c r="E463" s="2" t="s">
        <v>12</v>
      </c>
      <c r="F463" s="2" t="s">
        <v>82</v>
      </c>
      <c r="G463" s="2" t="s">
        <v>23</v>
      </c>
      <c r="H463" s="2" t="s">
        <v>83</v>
      </c>
      <c r="I463" s="2" t="n">
        <v>2</v>
      </c>
    </row>
    <row r="464" customFormat="false" ht="15" hidden="false" customHeight="false" outlineLevel="0" collapsed="false">
      <c r="A464" s="2" t="s">
        <v>1174</v>
      </c>
      <c r="B464" s="2" t="s">
        <v>1175</v>
      </c>
      <c r="C464" s="2" t="s">
        <v>1176</v>
      </c>
      <c r="D464" s="2" t="n">
        <v>2024</v>
      </c>
      <c r="E464" s="2" t="s">
        <v>60</v>
      </c>
      <c r="F464" s="2" t="s">
        <v>314</v>
      </c>
      <c r="G464" s="2" t="s">
        <v>52</v>
      </c>
      <c r="H464" s="2" t="s">
        <v>700</v>
      </c>
      <c r="I464" s="2" t="n">
        <v>0</v>
      </c>
    </row>
    <row r="465" customFormat="false" ht="15" hidden="false" customHeight="false" outlineLevel="0" collapsed="false">
      <c r="A465" s="2" t="s">
        <v>1177</v>
      </c>
      <c r="B465" s="2" t="s">
        <v>1178</v>
      </c>
      <c r="C465" s="2" t="s">
        <v>1179</v>
      </c>
      <c r="D465" s="2" t="n">
        <v>2024</v>
      </c>
      <c r="E465" s="2" t="s">
        <v>432</v>
      </c>
      <c r="F465" s="2" t="s">
        <v>155</v>
      </c>
      <c r="G465" s="2" t="s">
        <v>52</v>
      </c>
      <c r="H465" s="2" t="s">
        <v>156</v>
      </c>
      <c r="I465" s="2" t="n">
        <v>0</v>
      </c>
    </row>
    <row r="466" customFormat="false" ht="15" hidden="false" customHeight="false" outlineLevel="0" collapsed="false">
      <c r="A466" s="2" t="s">
        <v>1180</v>
      </c>
      <c r="B466" s="2" t="s">
        <v>1181</v>
      </c>
      <c r="C466" s="2" t="s">
        <v>1182</v>
      </c>
      <c r="D466" s="2" t="n">
        <v>2024</v>
      </c>
      <c r="E466" s="2" t="s">
        <v>46</v>
      </c>
      <c r="F466" s="2" t="s">
        <v>26</v>
      </c>
      <c r="G466" s="2" t="s">
        <v>107</v>
      </c>
      <c r="H466" s="2" t="s">
        <v>28</v>
      </c>
      <c r="I466" s="2" t="n">
        <v>0</v>
      </c>
    </row>
    <row r="467" customFormat="false" ht="15" hidden="false" customHeight="false" outlineLevel="0" collapsed="false">
      <c r="A467" s="2" t="s">
        <v>1183</v>
      </c>
      <c r="B467" s="2" t="s">
        <v>1184</v>
      </c>
      <c r="C467" s="2" t="s">
        <v>1185</v>
      </c>
      <c r="D467" s="2" t="n">
        <v>2024</v>
      </c>
      <c r="E467" s="2" t="s">
        <v>46</v>
      </c>
      <c r="F467" s="2" t="s">
        <v>26</v>
      </c>
      <c r="G467" s="2" t="s">
        <v>23</v>
      </c>
      <c r="H467" s="2" t="s">
        <v>28</v>
      </c>
      <c r="I467" s="2" t="n">
        <v>0</v>
      </c>
    </row>
    <row r="468" customFormat="false" ht="15" hidden="false" customHeight="false" outlineLevel="0" collapsed="false">
      <c r="A468" s="2" t="s">
        <v>1186</v>
      </c>
      <c r="B468" s="2" t="s">
        <v>1187</v>
      </c>
      <c r="C468" s="2" t="s">
        <v>1188</v>
      </c>
      <c r="D468" s="2" t="n">
        <v>2024</v>
      </c>
      <c r="E468" s="2" t="s">
        <v>12</v>
      </c>
      <c r="F468" s="2" t="s">
        <v>64</v>
      </c>
      <c r="G468" s="2" t="s">
        <v>14</v>
      </c>
      <c r="H468" s="2" t="s">
        <v>65</v>
      </c>
      <c r="I468" s="2" t="n">
        <v>19</v>
      </c>
    </row>
    <row r="469" customFormat="false" ht="15" hidden="false" customHeight="false" outlineLevel="0" collapsed="false">
      <c r="A469" s="2" t="s">
        <v>1189</v>
      </c>
      <c r="B469" s="2" t="s">
        <v>1190</v>
      </c>
      <c r="C469" s="2" t="s">
        <v>1191</v>
      </c>
      <c r="D469" s="2" t="n">
        <v>2024</v>
      </c>
      <c r="E469" s="2" t="s">
        <v>46</v>
      </c>
      <c r="F469" s="2" t="s">
        <v>26</v>
      </c>
      <c r="G469" s="2" t="s">
        <v>49</v>
      </c>
      <c r="H469" s="2" t="s">
        <v>28</v>
      </c>
      <c r="I469" s="2" t="n">
        <v>0</v>
      </c>
    </row>
    <row r="470" customFormat="false" ht="15" hidden="false" customHeight="false" outlineLevel="0" collapsed="false">
      <c r="A470" s="2" t="s">
        <v>1192</v>
      </c>
      <c r="B470" s="2" t="s">
        <v>1193</v>
      </c>
      <c r="C470" s="2" t="s">
        <v>1194</v>
      </c>
      <c r="D470" s="2" t="n">
        <v>2024</v>
      </c>
      <c r="E470" s="2" t="s">
        <v>12</v>
      </c>
      <c r="F470" s="2" t="s">
        <v>64</v>
      </c>
      <c r="G470" s="2" t="s">
        <v>52</v>
      </c>
      <c r="H470" s="2" t="s">
        <v>65</v>
      </c>
      <c r="I470" s="2" t="n">
        <v>0</v>
      </c>
    </row>
    <row r="471" customFormat="false" ht="15" hidden="false" customHeight="false" outlineLevel="0" collapsed="false">
      <c r="A471" s="2" t="s">
        <v>1195</v>
      </c>
      <c r="B471" s="2" t="s">
        <v>1196</v>
      </c>
      <c r="C471" s="2" t="s">
        <v>1197</v>
      </c>
      <c r="D471" s="2" t="n">
        <v>2024</v>
      </c>
      <c r="E471" s="2" t="s">
        <v>46</v>
      </c>
      <c r="F471" s="2" t="s">
        <v>26</v>
      </c>
      <c r="G471" s="2" t="s">
        <v>23</v>
      </c>
      <c r="H471" s="2" t="s">
        <v>28</v>
      </c>
      <c r="I471" s="2" t="n">
        <v>0</v>
      </c>
    </row>
    <row r="472" customFormat="false" ht="15" hidden="false" customHeight="false" outlineLevel="0" collapsed="false">
      <c r="A472" s="2" t="s">
        <v>1198</v>
      </c>
      <c r="B472" s="2" t="s">
        <v>1199</v>
      </c>
      <c r="C472" s="2" t="s">
        <v>1200</v>
      </c>
      <c r="D472" s="2" t="n">
        <v>2024</v>
      </c>
      <c r="E472" s="2" t="s">
        <v>12</v>
      </c>
      <c r="F472" s="2" t="s">
        <v>64</v>
      </c>
      <c r="G472" s="2" t="s">
        <v>34</v>
      </c>
      <c r="H472" s="2" t="s">
        <v>65</v>
      </c>
      <c r="I472" s="2" t="n">
        <v>0</v>
      </c>
    </row>
    <row r="473" customFormat="false" ht="15" hidden="false" customHeight="false" outlineLevel="0" collapsed="false">
      <c r="A473" s="2" t="s">
        <v>1201</v>
      </c>
      <c r="B473" s="2" t="s">
        <v>1202</v>
      </c>
      <c r="C473" s="2" t="s">
        <v>1203</v>
      </c>
      <c r="D473" s="2" t="n">
        <v>2024</v>
      </c>
      <c r="E473" s="2" t="s">
        <v>12</v>
      </c>
      <c r="F473" s="2" t="s">
        <v>72</v>
      </c>
      <c r="G473" s="2" t="s">
        <v>73</v>
      </c>
      <c r="H473" s="2" t="s">
        <v>74</v>
      </c>
      <c r="I473" s="2" t="n">
        <v>7</v>
      </c>
    </row>
    <row r="474" customFormat="false" ht="15" hidden="false" customHeight="false" outlineLevel="0" collapsed="false">
      <c r="A474" s="2" t="s">
        <v>1204</v>
      </c>
      <c r="B474" s="2" t="s">
        <v>1205</v>
      </c>
      <c r="C474" s="2" t="s">
        <v>1206</v>
      </c>
      <c r="D474" s="2" t="n">
        <v>2024</v>
      </c>
      <c r="E474" s="2" t="s">
        <v>12</v>
      </c>
      <c r="F474" s="2" t="s">
        <v>908</v>
      </c>
      <c r="G474" s="2" t="s">
        <v>49</v>
      </c>
      <c r="H474" s="2" t="s">
        <v>909</v>
      </c>
      <c r="I474" s="2" t="n">
        <v>0</v>
      </c>
    </row>
    <row r="475" customFormat="false" ht="15" hidden="false" customHeight="false" outlineLevel="0" collapsed="false">
      <c r="A475" s="2" t="s">
        <v>1207</v>
      </c>
      <c r="B475" s="2" t="s">
        <v>1208</v>
      </c>
      <c r="C475" s="2" t="s">
        <v>1206</v>
      </c>
      <c r="D475" s="2" t="n">
        <v>2024</v>
      </c>
      <c r="E475" s="2" t="s">
        <v>12</v>
      </c>
      <c r="F475" s="2" t="s">
        <v>64</v>
      </c>
      <c r="G475" s="2" t="s">
        <v>27</v>
      </c>
      <c r="H475" s="2" t="s">
        <v>65</v>
      </c>
      <c r="I475" s="2" t="n">
        <v>6</v>
      </c>
    </row>
    <row r="476" customFormat="false" ht="15" hidden="false" customHeight="false" outlineLevel="0" collapsed="false">
      <c r="A476" s="2" t="s">
        <v>1209</v>
      </c>
      <c r="B476" s="2" t="s">
        <v>1210</v>
      </c>
      <c r="C476" s="2" t="s">
        <v>1211</v>
      </c>
      <c r="D476" s="2" t="n">
        <v>2024</v>
      </c>
      <c r="E476" s="2" t="s">
        <v>1212</v>
      </c>
      <c r="F476" s="2" t="s">
        <v>26</v>
      </c>
      <c r="G476" s="2" t="s">
        <v>52</v>
      </c>
      <c r="H476" s="2" t="s">
        <v>28</v>
      </c>
      <c r="I476" s="2" t="n">
        <v>0</v>
      </c>
    </row>
    <row r="477" customFormat="false" ht="15" hidden="false" customHeight="false" outlineLevel="0" collapsed="false">
      <c r="A477" s="2" t="s">
        <v>1213</v>
      </c>
      <c r="B477" s="2" t="s">
        <v>1214</v>
      </c>
      <c r="C477" s="2" t="s">
        <v>1215</v>
      </c>
      <c r="D477" s="2" t="n">
        <v>2024</v>
      </c>
      <c r="E477" s="2" t="s">
        <v>12</v>
      </c>
      <c r="F477" s="2" t="s">
        <v>55</v>
      </c>
      <c r="G477" s="2" t="s">
        <v>37</v>
      </c>
      <c r="H477" s="2" t="s">
        <v>56</v>
      </c>
      <c r="I477" s="2" t="n">
        <v>0</v>
      </c>
    </row>
    <row r="478" customFormat="false" ht="15" hidden="false" customHeight="false" outlineLevel="0" collapsed="false">
      <c r="A478" s="2" t="s">
        <v>1216</v>
      </c>
      <c r="B478" s="2" t="s">
        <v>1217</v>
      </c>
      <c r="C478" s="2" t="s">
        <v>1218</v>
      </c>
      <c r="D478" s="2" t="n">
        <v>2024</v>
      </c>
      <c r="E478" s="2" t="s">
        <v>12</v>
      </c>
      <c r="F478" s="2" t="s">
        <v>18</v>
      </c>
      <c r="G478" s="2" t="s">
        <v>34</v>
      </c>
      <c r="H478" s="2" t="s">
        <v>20</v>
      </c>
      <c r="I478" s="2" t="n">
        <v>0</v>
      </c>
    </row>
    <row r="479" customFormat="false" ht="15" hidden="false" customHeight="false" outlineLevel="0" collapsed="false">
      <c r="A479" s="2" t="s">
        <v>1219</v>
      </c>
      <c r="B479" s="2" t="s">
        <v>1220</v>
      </c>
      <c r="C479" s="2" t="s">
        <v>1221</v>
      </c>
      <c r="D479" s="2" t="n">
        <v>2024</v>
      </c>
      <c r="E479" s="2" t="s">
        <v>46</v>
      </c>
      <c r="F479" s="2" t="s">
        <v>26</v>
      </c>
      <c r="G479" s="2" t="s">
        <v>52</v>
      </c>
      <c r="H479" s="2" t="s">
        <v>28</v>
      </c>
      <c r="I479" s="2" t="n">
        <v>0</v>
      </c>
    </row>
    <row r="480" customFormat="false" ht="15" hidden="false" customHeight="false" outlineLevel="0" collapsed="false">
      <c r="A480" s="2" t="s">
        <v>1222</v>
      </c>
      <c r="B480" s="2" t="s">
        <v>1223</v>
      </c>
      <c r="C480" s="2" t="s">
        <v>1224</v>
      </c>
      <c r="D480" s="2" t="n">
        <v>2024</v>
      </c>
      <c r="E480" s="2" t="s">
        <v>12</v>
      </c>
      <c r="F480" s="2" t="s">
        <v>64</v>
      </c>
      <c r="G480" s="2" t="s">
        <v>27</v>
      </c>
      <c r="H480" s="2" t="s">
        <v>65</v>
      </c>
      <c r="I480" s="2" t="n">
        <v>4</v>
      </c>
    </row>
    <row r="481" customFormat="false" ht="15" hidden="false" customHeight="false" outlineLevel="0" collapsed="false">
      <c r="A481" s="2" t="s">
        <v>1225</v>
      </c>
      <c r="B481" s="2" t="s">
        <v>1226</v>
      </c>
      <c r="C481" s="2" t="s">
        <v>1227</v>
      </c>
      <c r="D481" s="2" t="n">
        <v>2024</v>
      </c>
      <c r="E481" s="2" t="s">
        <v>12</v>
      </c>
      <c r="F481" s="2" t="s">
        <v>55</v>
      </c>
      <c r="G481" s="2" t="s">
        <v>23</v>
      </c>
      <c r="H481" s="2" t="s">
        <v>56</v>
      </c>
      <c r="I481" s="2" t="n">
        <v>2</v>
      </c>
    </row>
    <row r="482" customFormat="false" ht="15" hidden="false" customHeight="false" outlineLevel="0" collapsed="false">
      <c r="A482" s="2" t="s">
        <v>1228</v>
      </c>
      <c r="B482" s="2" t="s">
        <v>1229</v>
      </c>
      <c r="C482" s="2" t="s">
        <v>1227</v>
      </c>
      <c r="D482" s="2" t="n">
        <v>2024</v>
      </c>
      <c r="E482" s="2" t="s">
        <v>12</v>
      </c>
      <c r="F482" s="2" t="s">
        <v>26</v>
      </c>
      <c r="G482" s="2" t="s">
        <v>14</v>
      </c>
      <c r="H482" s="2" t="s">
        <v>28</v>
      </c>
      <c r="I482" s="2" t="n">
        <v>1</v>
      </c>
    </row>
    <row r="483" customFormat="false" ht="15" hidden="false" customHeight="false" outlineLevel="0" collapsed="false">
      <c r="A483" s="2" t="s">
        <v>1230</v>
      </c>
      <c r="B483" s="2" t="s">
        <v>1231</v>
      </c>
      <c r="C483" s="2" t="s">
        <v>1232</v>
      </c>
      <c r="D483" s="2" t="n">
        <v>2024</v>
      </c>
      <c r="E483" s="2" t="s">
        <v>432</v>
      </c>
      <c r="F483" s="2" t="s">
        <v>26</v>
      </c>
      <c r="G483" s="2" t="s">
        <v>27</v>
      </c>
      <c r="H483" s="2" t="s">
        <v>28</v>
      </c>
      <c r="I483" s="2" t="n">
        <v>0</v>
      </c>
    </row>
    <row r="484" customFormat="false" ht="15" hidden="false" customHeight="false" outlineLevel="0" collapsed="false">
      <c r="A484" s="2" t="s">
        <v>1233</v>
      </c>
      <c r="B484" s="2" t="s">
        <v>1234</v>
      </c>
      <c r="C484" s="2" t="s">
        <v>1235</v>
      </c>
      <c r="D484" s="2" t="n">
        <v>2024</v>
      </c>
      <c r="E484" s="2" t="s">
        <v>46</v>
      </c>
      <c r="F484" s="2" t="s">
        <v>26</v>
      </c>
      <c r="G484" s="2" t="s">
        <v>27</v>
      </c>
      <c r="H484" s="2" t="s">
        <v>28</v>
      </c>
      <c r="I484" s="2" t="n">
        <v>2</v>
      </c>
    </row>
    <row r="485" customFormat="false" ht="15" hidden="false" customHeight="false" outlineLevel="0" collapsed="false">
      <c r="A485" s="2" t="s">
        <v>1236</v>
      </c>
      <c r="B485" s="2" t="s">
        <v>878</v>
      </c>
      <c r="C485" s="2" t="s">
        <v>1237</v>
      </c>
      <c r="D485" s="2" t="n">
        <v>2024</v>
      </c>
      <c r="E485" s="2" t="s">
        <v>12</v>
      </c>
      <c r="F485" s="2" t="s">
        <v>64</v>
      </c>
      <c r="G485" s="2" t="s">
        <v>49</v>
      </c>
      <c r="H485" s="2" t="s">
        <v>65</v>
      </c>
      <c r="I485" s="2" t="n">
        <v>8</v>
      </c>
    </row>
    <row r="486" customFormat="false" ht="15" hidden="false" customHeight="false" outlineLevel="0" collapsed="false">
      <c r="A486" s="2" t="s">
        <v>1238</v>
      </c>
      <c r="B486" s="2" t="s">
        <v>1239</v>
      </c>
      <c r="C486" s="2" t="s">
        <v>1240</v>
      </c>
      <c r="D486" s="2" t="n">
        <v>2024</v>
      </c>
      <c r="E486" s="2" t="s">
        <v>12</v>
      </c>
      <c r="F486" s="2" t="s">
        <v>64</v>
      </c>
      <c r="G486" s="2" t="s">
        <v>73</v>
      </c>
      <c r="H486" s="2" t="s">
        <v>65</v>
      </c>
      <c r="I486" s="2" t="n">
        <v>19</v>
      </c>
    </row>
    <row r="487" customFormat="false" ht="15" hidden="false" customHeight="false" outlineLevel="0" collapsed="false">
      <c r="A487" s="2" t="s">
        <v>1241</v>
      </c>
      <c r="B487" s="2" t="s">
        <v>1242</v>
      </c>
      <c r="C487" s="2" t="s">
        <v>1243</v>
      </c>
      <c r="D487" s="2" t="n">
        <v>2024</v>
      </c>
      <c r="E487" s="2" t="s">
        <v>12</v>
      </c>
      <c r="F487" s="2" t="s">
        <v>155</v>
      </c>
      <c r="G487" s="2" t="s">
        <v>14</v>
      </c>
      <c r="H487" s="2" t="s">
        <v>371</v>
      </c>
      <c r="I487" s="2" t="n">
        <v>4</v>
      </c>
    </row>
    <row r="488" customFormat="false" ht="15" hidden="false" customHeight="false" outlineLevel="0" collapsed="false">
      <c r="A488" s="2" t="s">
        <v>1244</v>
      </c>
      <c r="B488" s="2" t="s">
        <v>1245</v>
      </c>
      <c r="C488" s="2" t="s">
        <v>1246</v>
      </c>
      <c r="D488" s="2" t="n">
        <v>2024</v>
      </c>
      <c r="E488" s="2" t="s">
        <v>1247</v>
      </c>
      <c r="F488" s="2" t="s">
        <v>13</v>
      </c>
      <c r="G488" s="2" t="s">
        <v>27</v>
      </c>
      <c r="H488" s="2" t="s">
        <v>15</v>
      </c>
      <c r="I488" s="2" t="n">
        <v>0</v>
      </c>
    </row>
    <row r="489" customFormat="false" ht="15" hidden="false" customHeight="false" outlineLevel="0" collapsed="false">
      <c r="A489" s="2" t="s">
        <v>1248</v>
      </c>
      <c r="B489" s="2" t="s">
        <v>1249</v>
      </c>
      <c r="C489" s="2" t="s">
        <v>1246</v>
      </c>
      <c r="D489" s="2" t="n">
        <v>2024</v>
      </c>
      <c r="E489" s="2" t="s">
        <v>12</v>
      </c>
      <c r="F489" s="2" t="s">
        <v>82</v>
      </c>
      <c r="G489" s="2" t="s">
        <v>52</v>
      </c>
      <c r="H489" s="2" t="s">
        <v>83</v>
      </c>
      <c r="I489" s="2" t="n">
        <v>4</v>
      </c>
    </row>
    <row r="490" customFormat="false" ht="15" hidden="false" customHeight="false" outlineLevel="0" collapsed="false">
      <c r="A490" s="2" t="s">
        <v>1250</v>
      </c>
      <c r="B490" s="2" t="s">
        <v>1251</v>
      </c>
      <c r="C490" s="2" t="s">
        <v>1252</v>
      </c>
      <c r="D490" s="2" t="n">
        <v>2024</v>
      </c>
      <c r="E490" s="2" t="s">
        <v>12</v>
      </c>
      <c r="F490" s="2" t="s">
        <v>55</v>
      </c>
      <c r="G490" s="2" t="s">
        <v>23</v>
      </c>
      <c r="H490" s="2" t="s">
        <v>56</v>
      </c>
      <c r="I490" s="2" t="n">
        <v>0</v>
      </c>
    </row>
    <row r="491" customFormat="false" ht="15" hidden="false" customHeight="false" outlineLevel="0" collapsed="false">
      <c r="A491" s="2" t="s">
        <v>1253</v>
      </c>
      <c r="B491" s="2" t="s">
        <v>1254</v>
      </c>
      <c r="C491" s="2" t="s">
        <v>1252</v>
      </c>
      <c r="D491" s="2" t="n">
        <v>2024</v>
      </c>
      <c r="E491" s="2" t="s">
        <v>12</v>
      </c>
      <c r="F491" s="2" t="s">
        <v>146</v>
      </c>
      <c r="G491" s="2" t="s">
        <v>23</v>
      </c>
      <c r="H491" s="2" t="s">
        <v>147</v>
      </c>
      <c r="I491" s="2" t="n">
        <v>0</v>
      </c>
    </row>
    <row r="492" customFormat="false" ht="15" hidden="false" customHeight="false" outlineLevel="0" collapsed="false">
      <c r="A492" s="2" t="s">
        <v>1255</v>
      </c>
      <c r="B492" s="2" t="s">
        <v>1256</v>
      </c>
      <c r="C492" s="2" t="s">
        <v>1257</v>
      </c>
      <c r="D492" s="2" t="n">
        <v>2024</v>
      </c>
      <c r="E492" s="2" t="s">
        <v>12</v>
      </c>
      <c r="F492" s="2" t="s">
        <v>64</v>
      </c>
      <c r="G492" s="2" t="s">
        <v>14</v>
      </c>
      <c r="H492" s="2" t="s">
        <v>65</v>
      </c>
      <c r="I492" s="2" t="n">
        <v>5</v>
      </c>
    </row>
    <row r="493" customFormat="false" ht="15" hidden="false" customHeight="false" outlineLevel="0" collapsed="false">
      <c r="A493" s="2" t="s">
        <v>1258</v>
      </c>
      <c r="B493" s="2" t="s">
        <v>1259</v>
      </c>
      <c r="C493" s="2" t="s">
        <v>1260</v>
      </c>
      <c r="D493" s="2" t="n">
        <v>2024</v>
      </c>
      <c r="E493" s="2" t="s">
        <v>40</v>
      </c>
      <c r="F493" s="2" t="s">
        <v>26</v>
      </c>
      <c r="G493" s="2" t="s">
        <v>14</v>
      </c>
      <c r="H493" s="2" t="s">
        <v>28</v>
      </c>
      <c r="I493" s="2" t="n">
        <v>0</v>
      </c>
    </row>
    <row r="494" customFormat="false" ht="15" hidden="false" customHeight="false" outlineLevel="0" collapsed="false">
      <c r="A494" s="2" t="s">
        <v>1261</v>
      </c>
      <c r="B494" s="2" t="s">
        <v>1262</v>
      </c>
      <c r="C494" s="2" t="s">
        <v>1263</v>
      </c>
      <c r="D494" s="2" t="n">
        <v>2024</v>
      </c>
      <c r="E494" s="2" t="s">
        <v>12</v>
      </c>
      <c r="F494" s="2" t="s">
        <v>64</v>
      </c>
      <c r="G494" s="2" t="s">
        <v>52</v>
      </c>
      <c r="H494" s="2" t="s">
        <v>65</v>
      </c>
      <c r="I494" s="2" t="n">
        <v>0</v>
      </c>
    </row>
    <row r="495" customFormat="false" ht="15" hidden="false" customHeight="false" outlineLevel="0" collapsed="false">
      <c r="A495" s="2" t="s">
        <v>1264</v>
      </c>
      <c r="B495" s="2" t="s">
        <v>1265</v>
      </c>
      <c r="C495" s="2" t="s">
        <v>1266</v>
      </c>
      <c r="D495" s="2" t="n">
        <v>2024</v>
      </c>
      <c r="E495" s="2" t="s">
        <v>12</v>
      </c>
      <c r="F495" s="2" t="s">
        <v>64</v>
      </c>
      <c r="G495" s="2" t="s">
        <v>52</v>
      </c>
      <c r="H495" s="2" t="s">
        <v>65</v>
      </c>
      <c r="I495" s="2" t="n">
        <v>20</v>
      </c>
    </row>
    <row r="496" customFormat="false" ht="15" hidden="false" customHeight="false" outlineLevel="0" collapsed="false">
      <c r="A496" s="2" t="s">
        <v>1267</v>
      </c>
      <c r="B496" s="2" t="s">
        <v>1268</v>
      </c>
      <c r="C496" s="2" t="s">
        <v>1266</v>
      </c>
      <c r="D496" s="2" t="n">
        <v>2024</v>
      </c>
      <c r="E496" s="2" t="s">
        <v>12</v>
      </c>
      <c r="F496" s="2" t="s">
        <v>64</v>
      </c>
      <c r="G496" s="2" t="s">
        <v>14</v>
      </c>
      <c r="H496" s="2" t="s">
        <v>65</v>
      </c>
      <c r="I496" s="2" t="n">
        <v>0</v>
      </c>
    </row>
    <row r="497" customFormat="false" ht="15" hidden="false" customHeight="false" outlineLevel="0" collapsed="false">
      <c r="A497" s="2" t="s">
        <v>1269</v>
      </c>
      <c r="B497" s="2" t="s">
        <v>1270</v>
      </c>
      <c r="C497" s="2" t="s">
        <v>1271</v>
      </c>
      <c r="D497" s="2" t="n">
        <v>2024</v>
      </c>
      <c r="E497" s="2" t="s">
        <v>12</v>
      </c>
      <c r="F497" s="2" t="s">
        <v>55</v>
      </c>
      <c r="G497" s="2" t="s">
        <v>34</v>
      </c>
      <c r="H497" s="2" t="s">
        <v>56</v>
      </c>
      <c r="I497" s="2" t="n">
        <v>1</v>
      </c>
    </row>
    <row r="498" customFormat="false" ht="15" hidden="false" customHeight="false" outlineLevel="0" collapsed="false">
      <c r="A498" s="2" t="s">
        <v>1272</v>
      </c>
      <c r="B498" s="2" t="s">
        <v>1273</v>
      </c>
      <c r="C498" s="2" t="s">
        <v>1274</v>
      </c>
      <c r="D498" s="2" t="n">
        <v>2024</v>
      </c>
      <c r="E498" s="2" t="s">
        <v>12</v>
      </c>
      <c r="F498" s="2" t="s">
        <v>26</v>
      </c>
      <c r="G498" s="2" t="s">
        <v>52</v>
      </c>
      <c r="H498" s="2" t="s">
        <v>28</v>
      </c>
      <c r="I498" s="2" t="n">
        <v>0</v>
      </c>
    </row>
    <row r="499" customFormat="false" ht="15" hidden="false" customHeight="false" outlineLevel="0" collapsed="false">
      <c r="A499" s="2" t="s">
        <v>1275</v>
      </c>
      <c r="B499" s="2" t="s">
        <v>1276</v>
      </c>
      <c r="C499" s="2" t="s">
        <v>1274</v>
      </c>
      <c r="D499" s="2" t="n">
        <v>2024</v>
      </c>
      <c r="E499" s="2" t="s">
        <v>12</v>
      </c>
      <c r="F499" s="2" t="s">
        <v>908</v>
      </c>
      <c r="G499" s="2" t="s">
        <v>107</v>
      </c>
      <c r="H499" s="2" t="s">
        <v>909</v>
      </c>
      <c r="I499" s="2" t="n">
        <v>0</v>
      </c>
    </row>
    <row r="500" customFormat="false" ht="15" hidden="false" customHeight="false" outlineLevel="0" collapsed="false">
      <c r="A500" s="2" t="s">
        <v>1277</v>
      </c>
      <c r="B500" s="2" t="s">
        <v>1278</v>
      </c>
      <c r="C500" s="2" t="s">
        <v>1279</v>
      </c>
      <c r="D500" s="2" t="n">
        <v>2024</v>
      </c>
      <c r="E500" s="2" t="s">
        <v>12</v>
      </c>
      <c r="F500" s="2" t="s">
        <v>1280</v>
      </c>
      <c r="G500" s="2" t="s">
        <v>49</v>
      </c>
      <c r="H500" s="2" t="s">
        <v>1281</v>
      </c>
      <c r="I500" s="2" t="n">
        <v>0</v>
      </c>
    </row>
    <row r="501" customFormat="false" ht="15" hidden="false" customHeight="false" outlineLevel="0" collapsed="false">
      <c r="A501" s="2" t="s">
        <v>1282</v>
      </c>
      <c r="B501" s="2" t="s">
        <v>1283</v>
      </c>
      <c r="C501" s="2" t="s">
        <v>1284</v>
      </c>
      <c r="D501" s="2" t="n">
        <v>2024</v>
      </c>
      <c r="E501" s="2" t="s">
        <v>12</v>
      </c>
      <c r="F501" s="2" t="s">
        <v>64</v>
      </c>
      <c r="G501" s="2" t="s">
        <v>52</v>
      </c>
      <c r="H501" s="2" t="s">
        <v>65</v>
      </c>
      <c r="I501" s="2" t="n">
        <v>18</v>
      </c>
    </row>
    <row r="502" customFormat="false" ht="15" hidden="false" customHeight="false" outlineLevel="0" collapsed="false">
      <c r="A502" s="2" t="s">
        <v>1285</v>
      </c>
      <c r="B502" s="2" t="s">
        <v>1286</v>
      </c>
      <c r="C502" s="2" t="s">
        <v>1287</v>
      </c>
      <c r="D502" s="2" t="n">
        <v>2024</v>
      </c>
      <c r="E502" s="2" t="s">
        <v>12</v>
      </c>
      <c r="F502" s="2" t="s">
        <v>64</v>
      </c>
      <c r="G502" s="2" t="s">
        <v>73</v>
      </c>
      <c r="H502" s="2" t="s">
        <v>65</v>
      </c>
      <c r="I502" s="2" t="n">
        <v>0</v>
      </c>
    </row>
    <row r="503" customFormat="false" ht="15" hidden="false" customHeight="false" outlineLevel="0" collapsed="false">
      <c r="A503" s="2" t="s">
        <v>1288</v>
      </c>
      <c r="B503" s="2" t="s">
        <v>1289</v>
      </c>
      <c r="C503" s="2" t="s">
        <v>1290</v>
      </c>
      <c r="D503" s="2" t="n">
        <v>2024</v>
      </c>
      <c r="E503" s="2" t="s">
        <v>46</v>
      </c>
      <c r="F503" s="2" t="s">
        <v>13</v>
      </c>
      <c r="G503" s="2" t="s">
        <v>23</v>
      </c>
      <c r="H503" s="2" t="s">
        <v>15</v>
      </c>
      <c r="I503" s="2" t="n">
        <v>0</v>
      </c>
    </row>
    <row r="504" customFormat="false" ht="15" hidden="false" customHeight="false" outlineLevel="0" collapsed="false">
      <c r="A504" s="2" t="s">
        <v>1291</v>
      </c>
      <c r="B504" s="2" t="s">
        <v>1292</v>
      </c>
      <c r="C504" s="2" t="s">
        <v>1293</v>
      </c>
      <c r="D504" s="2" t="n">
        <v>2024</v>
      </c>
      <c r="E504" s="2" t="s">
        <v>12</v>
      </c>
      <c r="F504" s="2" t="s">
        <v>72</v>
      </c>
      <c r="G504" s="2" t="s">
        <v>52</v>
      </c>
      <c r="H504" s="2" t="s">
        <v>74</v>
      </c>
      <c r="I504" s="2" t="n">
        <v>3</v>
      </c>
    </row>
    <row r="505" customFormat="false" ht="15" hidden="false" customHeight="false" outlineLevel="0" collapsed="false">
      <c r="A505" s="2" t="s">
        <v>1294</v>
      </c>
      <c r="B505" s="2" t="s">
        <v>1295</v>
      </c>
      <c r="C505" s="2" t="s">
        <v>1296</v>
      </c>
      <c r="D505" s="2" t="n">
        <v>2024</v>
      </c>
      <c r="E505" s="2" t="s">
        <v>46</v>
      </c>
      <c r="F505" s="2" t="s">
        <v>26</v>
      </c>
      <c r="G505" s="2" t="s">
        <v>107</v>
      </c>
      <c r="H505" s="2" t="s">
        <v>28</v>
      </c>
      <c r="I505" s="2" t="n">
        <v>0</v>
      </c>
    </row>
    <row r="506" customFormat="false" ht="15" hidden="false" customHeight="false" outlineLevel="0" collapsed="false">
      <c r="A506" s="2" t="s">
        <v>1297</v>
      </c>
      <c r="B506" s="2" t="s">
        <v>1298</v>
      </c>
      <c r="C506" s="2" t="s">
        <v>1299</v>
      </c>
      <c r="D506" s="2" t="n">
        <v>2024</v>
      </c>
      <c r="E506" s="2" t="s">
        <v>60</v>
      </c>
      <c r="F506" s="2" t="s">
        <v>26</v>
      </c>
      <c r="G506" s="2" t="s">
        <v>52</v>
      </c>
      <c r="H506" s="2" t="s">
        <v>28</v>
      </c>
      <c r="I506" s="2" t="n">
        <v>0</v>
      </c>
    </row>
    <row r="507" customFormat="false" ht="15" hidden="false" customHeight="false" outlineLevel="0" collapsed="false">
      <c r="A507" s="2" t="s">
        <v>1300</v>
      </c>
      <c r="B507" s="2" t="s">
        <v>1301</v>
      </c>
      <c r="C507" s="2" t="s">
        <v>1299</v>
      </c>
      <c r="D507" s="2" t="n">
        <v>2024</v>
      </c>
      <c r="E507" s="2" t="s">
        <v>12</v>
      </c>
      <c r="F507" s="2" t="s">
        <v>18</v>
      </c>
      <c r="G507" s="2" t="s">
        <v>49</v>
      </c>
      <c r="H507" s="2" t="s">
        <v>20</v>
      </c>
      <c r="I507" s="2" t="n">
        <v>0</v>
      </c>
    </row>
    <row r="508" customFormat="false" ht="15" hidden="false" customHeight="false" outlineLevel="0" collapsed="false">
      <c r="A508" s="2" t="s">
        <v>1302</v>
      </c>
      <c r="B508" s="2" t="s">
        <v>1303</v>
      </c>
      <c r="C508" s="2" t="s">
        <v>1304</v>
      </c>
      <c r="D508" s="2" t="n">
        <v>2024</v>
      </c>
      <c r="E508" s="2" t="s">
        <v>46</v>
      </c>
      <c r="F508" s="2" t="s">
        <v>26</v>
      </c>
      <c r="G508" s="2" t="s">
        <v>27</v>
      </c>
      <c r="H508" s="2" t="s">
        <v>28</v>
      </c>
      <c r="I508" s="2" t="n">
        <v>0</v>
      </c>
    </row>
    <row r="509" customFormat="false" ht="15" hidden="false" customHeight="false" outlineLevel="0" collapsed="false">
      <c r="A509" s="2" t="s">
        <v>1305</v>
      </c>
      <c r="B509" s="2" t="s">
        <v>1306</v>
      </c>
      <c r="C509" s="2" t="s">
        <v>1307</v>
      </c>
      <c r="D509" s="2" t="n">
        <v>2024</v>
      </c>
      <c r="E509" s="2" t="s">
        <v>12</v>
      </c>
      <c r="F509" s="2" t="s">
        <v>26</v>
      </c>
      <c r="G509" s="2" t="s">
        <v>14</v>
      </c>
      <c r="H509" s="2" t="s">
        <v>28</v>
      </c>
      <c r="I509" s="2" t="n">
        <v>34</v>
      </c>
    </row>
    <row r="510" customFormat="false" ht="15" hidden="false" customHeight="false" outlineLevel="0" collapsed="false">
      <c r="A510" s="2" t="s">
        <v>1308</v>
      </c>
      <c r="B510" s="2" t="s">
        <v>1309</v>
      </c>
      <c r="C510" s="2" t="s">
        <v>1310</v>
      </c>
      <c r="D510" s="2" t="n">
        <v>2024</v>
      </c>
      <c r="E510" s="2" t="s">
        <v>40</v>
      </c>
      <c r="F510" s="2" t="s">
        <v>41</v>
      </c>
      <c r="G510" s="2" t="s">
        <v>34</v>
      </c>
      <c r="H510" s="2" t="s">
        <v>276</v>
      </c>
      <c r="I510" s="2" t="n">
        <v>0</v>
      </c>
    </row>
    <row r="511" customFormat="false" ht="15" hidden="false" customHeight="false" outlineLevel="0" collapsed="false">
      <c r="A511" s="2" t="s">
        <v>1311</v>
      </c>
      <c r="B511" s="2" t="s">
        <v>1312</v>
      </c>
      <c r="C511" s="2" t="s">
        <v>1313</v>
      </c>
      <c r="D511" s="2" t="n">
        <v>2024</v>
      </c>
      <c r="E511" s="2" t="s">
        <v>12</v>
      </c>
      <c r="F511" s="2" t="s">
        <v>146</v>
      </c>
      <c r="G511" s="2" t="s">
        <v>34</v>
      </c>
      <c r="H511" s="2" t="s">
        <v>147</v>
      </c>
      <c r="I511" s="2" t="n">
        <v>0</v>
      </c>
    </row>
    <row r="512" customFormat="false" ht="15" hidden="false" customHeight="false" outlineLevel="0" collapsed="false">
      <c r="A512" s="2" t="s">
        <v>1314</v>
      </c>
      <c r="B512" s="2" t="s">
        <v>1315</v>
      </c>
      <c r="C512" s="2" t="s">
        <v>1316</v>
      </c>
      <c r="D512" s="2" t="n">
        <v>2024</v>
      </c>
      <c r="E512" s="2" t="s">
        <v>12</v>
      </c>
      <c r="F512" s="2" t="s">
        <v>82</v>
      </c>
      <c r="G512" s="2" t="s">
        <v>52</v>
      </c>
      <c r="H512" s="2" t="s">
        <v>83</v>
      </c>
      <c r="I512" s="2" t="n">
        <v>18</v>
      </c>
    </row>
    <row r="513" customFormat="false" ht="15" hidden="false" customHeight="false" outlineLevel="0" collapsed="false">
      <c r="A513" s="2" t="s">
        <v>1317</v>
      </c>
      <c r="B513" s="2" t="s">
        <v>1318</v>
      </c>
      <c r="C513" s="2" t="s">
        <v>1319</v>
      </c>
      <c r="D513" s="2" t="n">
        <v>2024</v>
      </c>
      <c r="E513" s="2" t="s">
        <v>46</v>
      </c>
      <c r="F513" s="2" t="s">
        <v>26</v>
      </c>
      <c r="G513" s="2" t="s">
        <v>52</v>
      </c>
      <c r="H513" s="2" t="s">
        <v>28</v>
      </c>
      <c r="I513" s="2" t="n">
        <v>0</v>
      </c>
    </row>
    <row r="514" customFormat="false" ht="15" hidden="false" customHeight="false" outlineLevel="0" collapsed="false">
      <c r="A514" s="2" t="s">
        <v>1320</v>
      </c>
      <c r="B514" s="2" t="s">
        <v>1231</v>
      </c>
      <c r="C514" s="2" t="s">
        <v>1319</v>
      </c>
      <c r="D514" s="2" t="n">
        <v>2024</v>
      </c>
      <c r="E514" s="2" t="s">
        <v>46</v>
      </c>
      <c r="F514" s="2" t="s">
        <v>26</v>
      </c>
      <c r="G514" s="2" t="s">
        <v>27</v>
      </c>
      <c r="H514" s="2" t="s">
        <v>28</v>
      </c>
      <c r="I514" s="2" t="n">
        <v>0</v>
      </c>
    </row>
    <row r="515" customFormat="false" ht="15" hidden="false" customHeight="false" outlineLevel="0" collapsed="false">
      <c r="A515" s="2" t="s">
        <v>1321</v>
      </c>
      <c r="B515" s="2" t="s">
        <v>1322</v>
      </c>
      <c r="C515" s="2" t="s">
        <v>1323</v>
      </c>
      <c r="D515" s="2" t="n">
        <v>2024</v>
      </c>
      <c r="E515" s="2" t="s">
        <v>12</v>
      </c>
      <c r="F515" s="2" t="s">
        <v>26</v>
      </c>
      <c r="G515" s="2" t="s">
        <v>107</v>
      </c>
      <c r="H515" s="2" t="s">
        <v>28</v>
      </c>
      <c r="I515" s="2" t="n">
        <v>0</v>
      </c>
    </row>
    <row r="516" customFormat="false" ht="15" hidden="false" customHeight="false" outlineLevel="0" collapsed="false">
      <c r="A516" s="2" t="s">
        <v>1324</v>
      </c>
      <c r="B516" s="2" t="s">
        <v>1325</v>
      </c>
      <c r="C516" s="2" t="s">
        <v>1326</v>
      </c>
      <c r="D516" s="2" t="n">
        <v>2024</v>
      </c>
      <c r="E516" s="2" t="s">
        <v>432</v>
      </c>
      <c r="F516" s="2" t="s">
        <v>155</v>
      </c>
      <c r="G516" s="2" t="s">
        <v>52</v>
      </c>
      <c r="H516" s="2" t="s">
        <v>156</v>
      </c>
      <c r="I516" s="2" t="n">
        <v>0</v>
      </c>
    </row>
    <row r="517" customFormat="false" ht="15" hidden="false" customHeight="false" outlineLevel="0" collapsed="false">
      <c r="A517" s="2" t="s">
        <v>1327</v>
      </c>
      <c r="B517" s="2" t="s">
        <v>1328</v>
      </c>
      <c r="C517" s="2" t="s">
        <v>1329</v>
      </c>
      <c r="D517" s="2" t="n">
        <v>2024</v>
      </c>
      <c r="E517" s="2" t="s">
        <v>12</v>
      </c>
      <c r="F517" s="2" t="s">
        <v>55</v>
      </c>
      <c r="G517" s="2" t="s">
        <v>52</v>
      </c>
      <c r="H517" s="2" t="s">
        <v>56</v>
      </c>
      <c r="I517" s="2" t="n">
        <v>0</v>
      </c>
    </row>
    <row r="518" customFormat="false" ht="15" hidden="false" customHeight="false" outlineLevel="0" collapsed="false">
      <c r="A518" s="2" t="s">
        <v>1330</v>
      </c>
      <c r="B518" s="2" t="s">
        <v>1331</v>
      </c>
      <c r="C518" s="2" t="s">
        <v>1329</v>
      </c>
      <c r="D518" s="2" t="n">
        <v>2024</v>
      </c>
      <c r="E518" s="2" t="s">
        <v>12</v>
      </c>
      <c r="F518" s="2" t="s">
        <v>64</v>
      </c>
      <c r="G518" s="2" t="s">
        <v>27</v>
      </c>
      <c r="H518" s="2" t="s">
        <v>65</v>
      </c>
      <c r="I518" s="2" t="n">
        <v>0</v>
      </c>
    </row>
    <row r="519" customFormat="false" ht="15" hidden="false" customHeight="false" outlineLevel="0" collapsed="false">
      <c r="A519" s="2" t="s">
        <v>1332</v>
      </c>
      <c r="B519" s="2" t="s">
        <v>1333</v>
      </c>
      <c r="C519" s="2" t="s">
        <v>1334</v>
      </c>
      <c r="D519" s="2" t="n">
        <v>2024</v>
      </c>
      <c r="E519" s="2" t="s">
        <v>12</v>
      </c>
      <c r="F519" s="2" t="s">
        <v>146</v>
      </c>
      <c r="G519" s="2" t="s">
        <v>73</v>
      </c>
      <c r="H519" s="2" t="s">
        <v>147</v>
      </c>
      <c r="I519" s="2" t="n">
        <v>0</v>
      </c>
    </row>
    <row r="520" customFormat="false" ht="15" hidden="false" customHeight="false" outlineLevel="0" collapsed="false">
      <c r="A520" s="2" t="s">
        <v>1335</v>
      </c>
      <c r="B520" s="2" t="s">
        <v>1336</v>
      </c>
      <c r="C520" s="2" t="s">
        <v>1337</v>
      </c>
      <c r="D520" s="2" t="n">
        <v>2024</v>
      </c>
      <c r="E520" s="2" t="s">
        <v>12</v>
      </c>
      <c r="F520" s="2" t="s">
        <v>64</v>
      </c>
      <c r="G520" s="2" t="s">
        <v>52</v>
      </c>
      <c r="H520" s="2" t="s">
        <v>65</v>
      </c>
      <c r="I520" s="2" t="n">
        <v>0</v>
      </c>
    </row>
    <row r="521" customFormat="false" ht="15" hidden="false" customHeight="false" outlineLevel="0" collapsed="false">
      <c r="A521" s="2" t="s">
        <v>1338</v>
      </c>
      <c r="B521" s="2" t="s">
        <v>1339</v>
      </c>
      <c r="C521" s="2" t="s">
        <v>1340</v>
      </c>
      <c r="D521" s="2" t="n">
        <v>2024</v>
      </c>
      <c r="E521" s="2" t="s">
        <v>46</v>
      </c>
      <c r="F521" s="2" t="s">
        <v>26</v>
      </c>
      <c r="G521" s="2" t="s">
        <v>27</v>
      </c>
      <c r="H521" s="2" t="s">
        <v>28</v>
      </c>
      <c r="I521" s="2" t="n">
        <v>0</v>
      </c>
    </row>
    <row r="522" customFormat="false" ht="15" hidden="false" customHeight="false" outlineLevel="0" collapsed="false">
      <c r="A522" s="2" t="s">
        <v>1341</v>
      </c>
      <c r="B522" s="2" t="s">
        <v>1342</v>
      </c>
      <c r="C522" s="2" t="s">
        <v>1340</v>
      </c>
      <c r="D522" s="2" t="n">
        <v>2024</v>
      </c>
      <c r="E522" s="2" t="s">
        <v>46</v>
      </c>
      <c r="F522" s="2" t="s">
        <v>26</v>
      </c>
      <c r="G522" s="2" t="s">
        <v>27</v>
      </c>
      <c r="H522" s="2" t="s">
        <v>28</v>
      </c>
      <c r="I522" s="2" t="n">
        <v>0</v>
      </c>
    </row>
    <row r="523" customFormat="false" ht="15" hidden="false" customHeight="false" outlineLevel="0" collapsed="false">
      <c r="A523" s="2" t="s">
        <v>1343</v>
      </c>
      <c r="B523" s="2" t="s">
        <v>1344</v>
      </c>
      <c r="C523" s="2" t="s">
        <v>1345</v>
      </c>
      <c r="D523" s="2" t="n">
        <v>2024</v>
      </c>
      <c r="E523" s="2" t="s">
        <v>12</v>
      </c>
      <c r="F523" s="2" t="s">
        <v>64</v>
      </c>
      <c r="G523" s="2" t="s">
        <v>73</v>
      </c>
      <c r="H523" s="2" t="s">
        <v>65</v>
      </c>
      <c r="I523" s="2" t="n">
        <v>0</v>
      </c>
    </row>
    <row r="524" customFormat="false" ht="15" hidden="false" customHeight="false" outlineLevel="0" collapsed="false">
      <c r="A524" s="2" t="s">
        <v>1346</v>
      </c>
      <c r="B524" s="2" t="s">
        <v>1347</v>
      </c>
      <c r="C524" s="2" t="s">
        <v>1348</v>
      </c>
      <c r="D524" s="2" t="n">
        <v>2024</v>
      </c>
      <c r="E524" s="2" t="s">
        <v>12</v>
      </c>
      <c r="F524" s="2" t="s">
        <v>55</v>
      </c>
      <c r="G524" s="2" t="s">
        <v>107</v>
      </c>
      <c r="H524" s="2" t="s">
        <v>56</v>
      </c>
      <c r="I524" s="2" t="n">
        <v>10</v>
      </c>
    </row>
    <row r="525" customFormat="false" ht="15" hidden="false" customHeight="false" outlineLevel="0" collapsed="false">
      <c r="A525" s="2" t="s">
        <v>1349</v>
      </c>
      <c r="B525" s="2" t="s">
        <v>1350</v>
      </c>
      <c r="C525" s="2" t="s">
        <v>1348</v>
      </c>
      <c r="D525" s="2" t="n">
        <v>2024</v>
      </c>
      <c r="E525" s="2" t="s">
        <v>40</v>
      </c>
      <c r="F525" s="2" t="s">
        <v>41</v>
      </c>
      <c r="G525" s="2" t="s">
        <v>107</v>
      </c>
      <c r="H525" s="2" t="s">
        <v>1351</v>
      </c>
      <c r="I525" s="2" t="n">
        <v>1</v>
      </c>
    </row>
    <row r="526" customFormat="false" ht="15" hidden="false" customHeight="false" outlineLevel="0" collapsed="false">
      <c r="A526" s="2" t="s">
        <v>1352</v>
      </c>
      <c r="B526" s="2" t="s">
        <v>1353</v>
      </c>
      <c r="C526" s="2" t="s">
        <v>1354</v>
      </c>
      <c r="D526" s="2" t="n">
        <v>2024</v>
      </c>
      <c r="E526" s="2" t="s">
        <v>12</v>
      </c>
      <c r="F526" s="2" t="s">
        <v>146</v>
      </c>
      <c r="G526" s="2" t="s">
        <v>27</v>
      </c>
      <c r="H526" s="2" t="s">
        <v>147</v>
      </c>
      <c r="I526" s="2" t="n">
        <v>0</v>
      </c>
    </row>
    <row r="527" customFormat="false" ht="15" hidden="false" customHeight="false" outlineLevel="0" collapsed="false">
      <c r="A527" s="2" t="s">
        <v>1355</v>
      </c>
      <c r="B527" s="2" t="s">
        <v>1356</v>
      </c>
      <c r="C527" s="2" t="s">
        <v>1357</v>
      </c>
      <c r="D527" s="2" t="n">
        <v>2024</v>
      </c>
      <c r="E527" s="2" t="s">
        <v>12</v>
      </c>
      <c r="F527" s="2" t="s">
        <v>64</v>
      </c>
      <c r="G527" s="2" t="s">
        <v>49</v>
      </c>
      <c r="H527" s="2" t="s">
        <v>65</v>
      </c>
      <c r="I527" s="2" t="n">
        <v>6</v>
      </c>
    </row>
    <row r="528" customFormat="false" ht="15" hidden="false" customHeight="false" outlineLevel="0" collapsed="false">
      <c r="A528" s="2" t="s">
        <v>1358</v>
      </c>
      <c r="B528" s="2" t="s">
        <v>1359</v>
      </c>
      <c r="C528" s="2" t="s">
        <v>1357</v>
      </c>
      <c r="D528" s="2" t="n">
        <v>2024</v>
      </c>
      <c r="E528" s="2" t="s">
        <v>12</v>
      </c>
      <c r="F528" s="2" t="s">
        <v>146</v>
      </c>
      <c r="G528" s="2" t="s">
        <v>52</v>
      </c>
      <c r="H528" s="2" t="s">
        <v>147</v>
      </c>
      <c r="I528" s="2" t="n">
        <v>0</v>
      </c>
    </row>
    <row r="529" customFormat="false" ht="15" hidden="false" customHeight="false" outlineLevel="0" collapsed="false">
      <c r="A529" s="2" t="s">
        <v>1360</v>
      </c>
      <c r="B529" s="2" t="s">
        <v>1361</v>
      </c>
      <c r="C529" s="2" t="s">
        <v>1357</v>
      </c>
      <c r="D529" s="2" t="n">
        <v>2024</v>
      </c>
      <c r="E529" s="2" t="s">
        <v>12</v>
      </c>
      <c r="F529" s="2" t="s">
        <v>64</v>
      </c>
      <c r="G529" s="2" t="s">
        <v>27</v>
      </c>
      <c r="H529" s="2" t="s">
        <v>65</v>
      </c>
      <c r="I529" s="2" t="n">
        <v>6</v>
      </c>
    </row>
    <row r="530" customFormat="false" ht="15" hidden="false" customHeight="false" outlineLevel="0" collapsed="false">
      <c r="A530" s="2" t="s">
        <v>1362</v>
      </c>
      <c r="B530" s="2" t="s">
        <v>1363</v>
      </c>
      <c r="C530" s="2" t="s">
        <v>1364</v>
      </c>
      <c r="D530" s="2" t="n">
        <v>2024</v>
      </c>
      <c r="E530" s="2" t="s">
        <v>12</v>
      </c>
      <c r="F530" s="2" t="s">
        <v>18</v>
      </c>
      <c r="G530" s="2" t="s">
        <v>49</v>
      </c>
      <c r="H530" s="2" t="s">
        <v>20</v>
      </c>
      <c r="I530" s="2" t="n">
        <v>9</v>
      </c>
    </row>
    <row r="531" customFormat="false" ht="15" hidden="false" customHeight="false" outlineLevel="0" collapsed="false">
      <c r="A531" s="2" t="s">
        <v>1365</v>
      </c>
      <c r="B531" s="2" t="s">
        <v>1366</v>
      </c>
      <c r="C531" s="2" t="s">
        <v>1364</v>
      </c>
      <c r="D531" s="2" t="n">
        <v>2024</v>
      </c>
      <c r="E531" s="2" t="s">
        <v>12</v>
      </c>
      <c r="F531" s="2" t="s">
        <v>64</v>
      </c>
      <c r="G531" s="2" t="s">
        <v>52</v>
      </c>
      <c r="H531" s="2" t="s">
        <v>65</v>
      </c>
      <c r="I531" s="2" t="n">
        <v>2</v>
      </c>
    </row>
    <row r="532" customFormat="false" ht="15" hidden="false" customHeight="false" outlineLevel="0" collapsed="false">
      <c r="A532" s="2" t="s">
        <v>1367</v>
      </c>
      <c r="B532" s="2" t="s">
        <v>1368</v>
      </c>
      <c r="C532" s="2" t="s">
        <v>1364</v>
      </c>
      <c r="D532" s="2" t="n">
        <v>2024</v>
      </c>
      <c r="E532" s="2" t="s">
        <v>12</v>
      </c>
      <c r="F532" s="2" t="s">
        <v>146</v>
      </c>
      <c r="G532" s="2" t="s">
        <v>23</v>
      </c>
      <c r="H532" s="2" t="s">
        <v>147</v>
      </c>
      <c r="I532" s="2" t="n">
        <v>0</v>
      </c>
    </row>
    <row r="533" customFormat="false" ht="15" hidden="false" customHeight="false" outlineLevel="0" collapsed="false">
      <c r="A533" s="2" t="s">
        <v>1369</v>
      </c>
      <c r="B533" s="2" t="s">
        <v>1370</v>
      </c>
      <c r="C533" s="2" t="s">
        <v>1371</v>
      </c>
      <c r="D533" s="2" t="n">
        <v>2024</v>
      </c>
      <c r="E533" s="2" t="s">
        <v>12</v>
      </c>
      <c r="F533" s="2" t="s">
        <v>64</v>
      </c>
      <c r="G533" s="2" t="s">
        <v>34</v>
      </c>
      <c r="H533" s="2" t="s">
        <v>65</v>
      </c>
      <c r="I533" s="2" t="n">
        <v>0</v>
      </c>
    </row>
    <row r="534" customFormat="false" ht="15" hidden="false" customHeight="false" outlineLevel="0" collapsed="false">
      <c r="A534" s="2" t="s">
        <v>1372</v>
      </c>
      <c r="B534" s="2" t="s">
        <v>1373</v>
      </c>
      <c r="C534" s="2" t="s">
        <v>1374</v>
      </c>
      <c r="D534" s="2" t="n">
        <v>2024</v>
      </c>
      <c r="E534" s="2" t="s">
        <v>40</v>
      </c>
      <c r="F534" s="2" t="s">
        <v>41</v>
      </c>
      <c r="G534" s="2" t="s">
        <v>107</v>
      </c>
      <c r="H534" s="2" t="s">
        <v>276</v>
      </c>
      <c r="I534" s="2" t="n">
        <v>0</v>
      </c>
    </row>
    <row r="535" customFormat="false" ht="15" hidden="false" customHeight="false" outlineLevel="0" collapsed="false">
      <c r="A535" s="2" t="s">
        <v>1375</v>
      </c>
      <c r="B535" s="2" t="s">
        <v>1376</v>
      </c>
      <c r="C535" s="2" t="s">
        <v>1377</v>
      </c>
      <c r="D535" s="2" t="n">
        <v>2024</v>
      </c>
      <c r="E535" s="2" t="s">
        <v>710</v>
      </c>
      <c r="F535" s="2" t="s">
        <v>155</v>
      </c>
      <c r="G535" s="2" t="s">
        <v>23</v>
      </c>
      <c r="H535" s="2" t="s">
        <v>156</v>
      </c>
      <c r="I535" s="2" t="n">
        <v>0</v>
      </c>
    </row>
    <row r="536" customFormat="false" ht="15" hidden="false" customHeight="false" outlineLevel="0" collapsed="false">
      <c r="A536" s="2" t="s">
        <v>1378</v>
      </c>
      <c r="B536" s="2" t="s">
        <v>1379</v>
      </c>
      <c r="C536" s="2" t="s">
        <v>1377</v>
      </c>
      <c r="D536" s="2" t="n">
        <v>2024</v>
      </c>
      <c r="E536" s="2" t="s">
        <v>12</v>
      </c>
      <c r="F536" s="2" t="s">
        <v>908</v>
      </c>
      <c r="G536" s="2" t="s">
        <v>34</v>
      </c>
      <c r="H536" s="2" t="s">
        <v>909</v>
      </c>
      <c r="I536" s="2" t="n">
        <v>0</v>
      </c>
    </row>
    <row r="537" customFormat="false" ht="15" hidden="false" customHeight="false" outlineLevel="0" collapsed="false">
      <c r="A537" s="2" t="s">
        <v>1380</v>
      </c>
      <c r="B537" s="2" t="s">
        <v>1381</v>
      </c>
      <c r="C537" s="2" t="s">
        <v>1377</v>
      </c>
      <c r="D537" s="2" t="n">
        <v>2024</v>
      </c>
      <c r="E537" s="2" t="s">
        <v>12</v>
      </c>
      <c r="F537" s="2" t="s">
        <v>64</v>
      </c>
      <c r="G537" s="2" t="s">
        <v>49</v>
      </c>
      <c r="H537" s="2" t="s">
        <v>65</v>
      </c>
      <c r="I537" s="2" t="n">
        <v>1</v>
      </c>
    </row>
    <row r="538" customFormat="false" ht="15" hidden="false" customHeight="false" outlineLevel="0" collapsed="false">
      <c r="A538" s="2" t="s">
        <v>1382</v>
      </c>
      <c r="B538" s="2" t="s">
        <v>1383</v>
      </c>
      <c r="C538" s="2" t="s">
        <v>1384</v>
      </c>
      <c r="D538" s="2" t="n">
        <v>2024</v>
      </c>
      <c r="E538" s="2" t="s">
        <v>12</v>
      </c>
      <c r="F538" s="2" t="s">
        <v>82</v>
      </c>
      <c r="G538" s="2" t="s">
        <v>14</v>
      </c>
      <c r="H538" s="2" t="s">
        <v>83</v>
      </c>
      <c r="I538" s="2" t="n">
        <v>14</v>
      </c>
    </row>
    <row r="539" customFormat="false" ht="15" hidden="false" customHeight="false" outlineLevel="0" collapsed="false">
      <c r="A539" s="2" t="s">
        <v>1385</v>
      </c>
      <c r="B539" s="2" t="s">
        <v>1386</v>
      </c>
      <c r="C539" s="2" t="s">
        <v>1384</v>
      </c>
      <c r="D539" s="2" t="n">
        <v>2024</v>
      </c>
      <c r="E539" s="2" t="s">
        <v>40</v>
      </c>
      <c r="F539" s="2" t="s">
        <v>41</v>
      </c>
      <c r="G539" s="2" t="s">
        <v>107</v>
      </c>
      <c r="H539" s="2" t="s">
        <v>1351</v>
      </c>
      <c r="I539" s="2" t="n">
        <v>0</v>
      </c>
    </row>
    <row r="540" customFormat="false" ht="15" hidden="false" customHeight="false" outlineLevel="0" collapsed="false">
      <c r="A540" s="2" t="s">
        <v>1387</v>
      </c>
      <c r="B540" s="2" t="s">
        <v>1388</v>
      </c>
      <c r="C540" s="2" t="s">
        <v>1389</v>
      </c>
      <c r="D540" s="2" t="n">
        <v>2024</v>
      </c>
      <c r="E540" s="2" t="s">
        <v>12</v>
      </c>
      <c r="F540" s="2" t="s">
        <v>55</v>
      </c>
      <c r="G540" s="2" t="s">
        <v>27</v>
      </c>
      <c r="H540" s="2" t="s">
        <v>56</v>
      </c>
      <c r="I540" s="2" t="n">
        <v>8</v>
      </c>
    </row>
    <row r="541" customFormat="false" ht="15" hidden="false" customHeight="false" outlineLevel="0" collapsed="false">
      <c r="A541" s="2" t="s">
        <v>1390</v>
      </c>
      <c r="B541" s="2" t="s">
        <v>1391</v>
      </c>
      <c r="C541" s="2" t="s">
        <v>1392</v>
      </c>
      <c r="D541" s="2" t="n">
        <v>2024</v>
      </c>
      <c r="E541" s="2" t="s">
        <v>12</v>
      </c>
      <c r="F541" s="2" t="s">
        <v>146</v>
      </c>
      <c r="G541" s="2" t="s">
        <v>34</v>
      </c>
      <c r="H541" s="2" t="s">
        <v>147</v>
      </c>
      <c r="I541" s="2" t="n">
        <v>0</v>
      </c>
    </row>
    <row r="542" customFormat="false" ht="15" hidden="false" customHeight="false" outlineLevel="0" collapsed="false">
      <c r="A542" s="2" t="s">
        <v>1393</v>
      </c>
      <c r="B542" s="2" t="s">
        <v>1394</v>
      </c>
      <c r="C542" s="2" t="s">
        <v>1395</v>
      </c>
      <c r="D542" s="2" t="n">
        <v>2024</v>
      </c>
      <c r="E542" s="2" t="s">
        <v>12</v>
      </c>
      <c r="F542" s="2" t="s">
        <v>13</v>
      </c>
      <c r="G542" s="2" t="s">
        <v>23</v>
      </c>
      <c r="H542" s="2" t="s">
        <v>15</v>
      </c>
      <c r="I542" s="2" t="n">
        <v>11</v>
      </c>
    </row>
    <row r="543" customFormat="false" ht="15" hidden="false" customHeight="false" outlineLevel="0" collapsed="false">
      <c r="A543" s="2" t="s">
        <v>1396</v>
      </c>
      <c r="B543" s="2" t="s">
        <v>1397</v>
      </c>
      <c r="C543" s="2" t="s">
        <v>1395</v>
      </c>
      <c r="D543" s="2" t="n">
        <v>2024</v>
      </c>
      <c r="E543" s="2" t="s">
        <v>40</v>
      </c>
      <c r="F543" s="2" t="s">
        <v>41</v>
      </c>
      <c r="G543" s="2" t="s">
        <v>52</v>
      </c>
      <c r="H543" s="2" t="s">
        <v>276</v>
      </c>
      <c r="I543" s="2" t="n">
        <v>0</v>
      </c>
    </row>
    <row r="544" customFormat="false" ht="15" hidden="false" customHeight="false" outlineLevel="0" collapsed="false">
      <c r="A544" s="2" t="s">
        <v>1398</v>
      </c>
      <c r="B544" s="2" t="s">
        <v>54</v>
      </c>
      <c r="C544" s="2" t="s">
        <v>1399</v>
      </c>
      <c r="D544" s="2" t="n">
        <v>2024</v>
      </c>
      <c r="E544" s="2" t="s">
        <v>432</v>
      </c>
      <c r="F544" s="2" t="s">
        <v>55</v>
      </c>
      <c r="G544" s="2" t="s">
        <v>52</v>
      </c>
      <c r="H544" s="2" t="s">
        <v>56</v>
      </c>
      <c r="I544" s="2" t="n">
        <v>0</v>
      </c>
    </row>
    <row r="545" customFormat="false" ht="15" hidden="false" customHeight="false" outlineLevel="0" collapsed="false">
      <c r="A545" s="2" t="s">
        <v>1400</v>
      </c>
      <c r="B545" s="2" t="s">
        <v>1401</v>
      </c>
      <c r="C545" s="2" t="s">
        <v>1402</v>
      </c>
      <c r="D545" s="2" t="n">
        <v>2024</v>
      </c>
      <c r="E545" s="2" t="s">
        <v>12</v>
      </c>
      <c r="F545" s="2" t="s">
        <v>64</v>
      </c>
      <c r="G545" s="2" t="s">
        <v>73</v>
      </c>
      <c r="H545" s="2" t="s">
        <v>65</v>
      </c>
      <c r="I545" s="2" t="n">
        <v>1</v>
      </c>
    </row>
    <row r="546" customFormat="false" ht="15" hidden="false" customHeight="false" outlineLevel="0" collapsed="false">
      <c r="A546" s="2" t="s">
        <v>1403</v>
      </c>
      <c r="B546" s="2" t="s">
        <v>1404</v>
      </c>
      <c r="C546" s="2" t="s">
        <v>1405</v>
      </c>
      <c r="D546" s="2" t="n">
        <v>2024</v>
      </c>
      <c r="E546" s="2" t="s">
        <v>12</v>
      </c>
      <c r="F546" s="2" t="s">
        <v>82</v>
      </c>
      <c r="G546" s="2" t="s">
        <v>49</v>
      </c>
      <c r="H546" s="2" t="s">
        <v>83</v>
      </c>
      <c r="I546" s="2" t="n">
        <v>7</v>
      </c>
    </row>
    <row r="547" customFormat="false" ht="15" hidden="false" customHeight="false" outlineLevel="0" collapsed="false">
      <c r="A547" s="2" t="s">
        <v>1406</v>
      </c>
      <c r="B547" s="2" t="s">
        <v>1407</v>
      </c>
      <c r="C547" s="2" t="s">
        <v>1405</v>
      </c>
      <c r="D547" s="2" t="n">
        <v>2024</v>
      </c>
      <c r="E547" s="2" t="s">
        <v>12</v>
      </c>
      <c r="F547" s="2" t="s">
        <v>64</v>
      </c>
      <c r="G547" s="2" t="s">
        <v>73</v>
      </c>
      <c r="H547" s="2" t="s">
        <v>65</v>
      </c>
      <c r="I547" s="2" t="n">
        <v>0</v>
      </c>
    </row>
    <row r="548" customFormat="false" ht="15" hidden="false" customHeight="false" outlineLevel="0" collapsed="false">
      <c r="A548" s="2" t="s">
        <v>1408</v>
      </c>
      <c r="B548" s="2" t="s">
        <v>1409</v>
      </c>
      <c r="C548" s="2" t="s">
        <v>1410</v>
      </c>
      <c r="D548" s="2" t="n">
        <v>2023</v>
      </c>
      <c r="E548" s="2" t="s">
        <v>12</v>
      </c>
      <c r="F548" s="2" t="s">
        <v>146</v>
      </c>
      <c r="G548" s="2" t="s">
        <v>34</v>
      </c>
      <c r="H548" s="2" t="s">
        <v>147</v>
      </c>
      <c r="I548" s="2" t="n">
        <v>2</v>
      </c>
    </row>
    <row r="549" customFormat="false" ht="15" hidden="false" customHeight="false" outlineLevel="0" collapsed="false">
      <c r="A549" s="2" t="s">
        <v>1411</v>
      </c>
      <c r="B549" s="2" t="s">
        <v>1412</v>
      </c>
      <c r="C549" s="2" t="s">
        <v>1410</v>
      </c>
      <c r="D549" s="2" t="n">
        <v>2023</v>
      </c>
      <c r="E549" s="2" t="s">
        <v>12</v>
      </c>
      <c r="F549" s="2" t="s">
        <v>146</v>
      </c>
      <c r="G549" s="2" t="s">
        <v>73</v>
      </c>
      <c r="H549" s="2" t="s">
        <v>147</v>
      </c>
      <c r="I549" s="2" t="n">
        <v>0</v>
      </c>
    </row>
    <row r="550" customFormat="false" ht="15" hidden="false" customHeight="false" outlineLevel="0" collapsed="false">
      <c r="A550" s="2" t="s">
        <v>1413</v>
      </c>
      <c r="B550" s="2" t="s">
        <v>1414</v>
      </c>
      <c r="C550" s="2" t="s">
        <v>1415</v>
      </c>
      <c r="D550" s="2" t="n">
        <v>2023</v>
      </c>
      <c r="E550" s="2" t="s">
        <v>12</v>
      </c>
      <c r="F550" s="2" t="s">
        <v>146</v>
      </c>
      <c r="G550" s="2" t="s">
        <v>23</v>
      </c>
      <c r="H550" s="2" t="s">
        <v>147</v>
      </c>
      <c r="I550" s="2" t="n">
        <v>1</v>
      </c>
    </row>
    <row r="551" customFormat="false" ht="15" hidden="false" customHeight="false" outlineLevel="0" collapsed="false">
      <c r="A551" s="2" t="s">
        <v>1416</v>
      </c>
      <c r="B551" s="2" t="s">
        <v>1417</v>
      </c>
      <c r="C551" s="2" t="s">
        <v>1415</v>
      </c>
      <c r="D551" s="2" t="n">
        <v>2023</v>
      </c>
      <c r="E551" s="2" t="s">
        <v>12</v>
      </c>
      <c r="F551" s="2" t="s">
        <v>26</v>
      </c>
      <c r="G551" s="2" t="s">
        <v>52</v>
      </c>
      <c r="H551" s="2" t="s">
        <v>28</v>
      </c>
      <c r="I551" s="2" t="n">
        <v>0</v>
      </c>
    </row>
    <row r="552" customFormat="false" ht="15" hidden="false" customHeight="false" outlineLevel="0" collapsed="false">
      <c r="A552" s="2" t="s">
        <v>1418</v>
      </c>
      <c r="B552" s="2" t="s">
        <v>1419</v>
      </c>
      <c r="C552" s="2" t="s">
        <v>1420</v>
      </c>
      <c r="D552" s="2" t="n">
        <v>2023</v>
      </c>
      <c r="E552" s="2" t="s">
        <v>710</v>
      </c>
      <c r="F552" s="2" t="s">
        <v>1421</v>
      </c>
      <c r="G552" s="2" t="s">
        <v>52</v>
      </c>
      <c r="H552" s="2" t="s">
        <v>1422</v>
      </c>
      <c r="I552" s="2" t="n">
        <v>0</v>
      </c>
    </row>
    <row r="553" customFormat="false" ht="15" hidden="false" customHeight="false" outlineLevel="0" collapsed="false">
      <c r="A553" s="2" t="s">
        <v>1423</v>
      </c>
      <c r="B553" s="2" t="s">
        <v>1424</v>
      </c>
      <c r="C553" s="2" t="s">
        <v>1425</v>
      </c>
      <c r="D553" s="2" t="n">
        <v>2023</v>
      </c>
      <c r="E553" s="2" t="s">
        <v>12</v>
      </c>
      <c r="F553" s="2" t="s">
        <v>64</v>
      </c>
      <c r="G553" s="2" t="s">
        <v>52</v>
      </c>
      <c r="H553" s="2" t="s">
        <v>65</v>
      </c>
      <c r="I553" s="2" t="n">
        <v>1</v>
      </c>
    </row>
    <row r="554" customFormat="false" ht="15" hidden="false" customHeight="false" outlineLevel="0" collapsed="false">
      <c r="A554" s="2" t="s">
        <v>1426</v>
      </c>
      <c r="B554" s="2" t="s">
        <v>1427</v>
      </c>
      <c r="C554" s="2" t="s">
        <v>1428</v>
      </c>
      <c r="D554" s="2" t="n">
        <v>2023</v>
      </c>
      <c r="E554" s="2" t="s">
        <v>40</v>
      </c>
      <c r="F554" s="2" t="s">
        <v>41</v>
      </c>
      <c r="G554" s="2" t="s">
        <v>34</v>
      </c>
      <c r="H554" s="2" t="s">
        <v>276</v>
      </c>
      <c r="I554" s="2" t="n">
        <v>0</v>
      </c>
    </row>
    <row r="555" customFormat="false" ht="15" hidden="false" customHeight="false" outlineLevel="0" collapsed="false">
      <c r="A555" s="2" t="s">
        <v>1429</v>
      </c>
      <c r="B555" s="2" t="s">
        <v>1430</v>
      </c>
      <c r="C555" s="2" t="s">
        <v>1431</v>
      </c>
      <c r="D555" s="2" t="n">
        <v>2023</v>
      </c>
      <c r="E555" s="2" t="s">
        <v>12</v>
      </c>
      <c r="F555" s="2" t="s">
        <v>908</v>
      </c>
      <c r="G555" s="2" t="s">
        <v>52</v>
      </c>
      <c r="H555" s="2" t="s">
        <v>909</v>
      </c>
      <c r="I555" s="2" t="n">
        <v>2</v>
      </c>
    </row>
    <row r="556" customFormat="false" ht="15" hidden="false" customHeight="false" outlineLevel="0" collapsed="false">
      <c r="A556" s="2" t="s">
        <v>1432</v>
      </c>
      <c r="B556" s="2" t="s">
        <v>1433</v>
      </c>
      <c r="C556" s="2" t="s">
        <v>1434</v>
      </c>
      <c r="D556" s="2" t="n">
        <v>2023</v>
      </c>
      <c r="E556" s="2" t="s">
        <v>12</v>
      </c>
      <c r="F556" s="2" t="s">
        <v>26</v>
      </c>
      <c r="G556" s="2" t="s">
        <v>14</v>
      </c>
      <c r="H556" s="2" t="s">
        <v>28</v>
      </c>
      <c r="I556" s="2" t="n">
        <v>12</v>
      </c>
    </row>
    <row r="557" customFormat="false" ht="15" hidden="false" customHeight="false" outlineLevel="0" collapsed="false">
      <c r="A557" s="2" t="s">
        <v>1435</v>
      </c>
      <c r="B557" s="2" t="s">
        <v>1436</v>
      </c>
      <c r="C557" s="2" t="s">
        <v>1437</v>
      </c>
      <c r="D557" s="2" t="n">
        <v>2023</v>
      </c>
      <c r="E557" s="2" t="s">
        <v>46</v>
      </c>
      <c r="F557" s="2" t="s">
        <v>26</v>
      </c>
      <c r="G557" s="2" t="s">
        <v>49</v>
      </c>
      <c r="H557" s="2" t="s">
        <v>28</v>
      </c>
      <c r="I557" s="2" t="n">
        <v>0</v>
      </c>
    </row>
    <row r="558" customFormat="false" ht="15" hidden="false" customHeight="false" outlineLevel="0" collapsed="false">
      <c r="A558" s="2" t="s">
        <v>1438</v>
      </c>
      <c r="B558" s="2" t="s">
        <v>1439</v>
      </c>
      <c r="C558" s="2" t="s">
        <v>1440</v>
      </c>
      <c r="D558" s="2" t="n">
        <v>2023</v>
      </c>
      <c r="E558" s="2" t="s">
        <v>12</v>
      </c>
      <c r="F558" s="2" t="s">
        <v>13</v>
      </c>
      <c r="G558" s="2" t="s">
        <v>14</v>
      </c>
      <c r="H558" s="2" t="s">
        <v>15</v>
      </c>
      <c r="I558" s="2" t="n">
        <v>2</v>
      </c>
    </row>
    <row r="559" customFormat="false" ht="15" hidden="false" customHeight="false" outlineLevel="0" collapsed="false">
      <c r="A559" s="2" t="s">
        <v>1441</v>
      </c>
      <c r="B559" s="2" t="s">
        <v>1442</v>
      </c>
      <c r="C559" s="2" t="s">
        <v>1440</v>
      </c>
      <c r="D559" s="2" t="n">
        <v>2023</v>
      </c>
      <c r="E559" s="2" t="s">
        <v>12</v>
      </c>
      <c r="F559" s="2" t="s">
        <v>82</v>
      </c>
      <c r="G559" s="2" t="s">
        <v>49</v>
      </c>
      <c r="H559" s="2" t="s">
        <v>83</v>
      </c>
      <c r="I559" s="2" t="n">
        <v>1</v>
      </c>
    </row>
    <row r="560" customFormat="false" ht="15" hidden="false" customHeight="false" outlineLevel="0" collapsed="false">
      <c r="A560" s="2" t="s">
        <v>1443</v>
      </c>
      <c r="B560" s="2" t="s">
        <v>1444</v>
      </c>
      <c r="C560" s="2" t="s">
        <v>1445</v>
      </c>
      <c r="D560" s="2" t="n">
        <v>2023</v>
      </c>
      <c r="E560" s="2" t="s">
        <v>12</v>
      </c>
      <c r="F560" s="2" t="s">
        <v>64</v>
      </c>
      <c r="G560" s="2" t="s">
        <v>52</v>
      </c>
      <c r="H560" s="2" t="s">
        <v>65</v>
      </c>
      <c r="I560" s="2" t="n">
        <v>1</v>
      </c>
    </row>
    <row r="561" customFormat="false" ht="15" hidden="false" customHeight="false" outlineLevel="0" collapsed="false">
      <c r="A561" s="2" t="s">
        <v>1446</v>
      </c>
      <c r="B561" s="2" t="s">
        <v>1447</v>
      </c>
      <c r="C561" s="2" t="s">
        <v>1448</v>
      </c>
      <c r="D561" s="2" t="n">
        <v>2023</v>
      </c>
      <c r="E561" s="2" t="s">
        <v>12</v>
      </c>
      <c r="F561" s="2" t="s">
        <v>908</v>
      </c>
      <c r="G561" s="2" t="s">
        <v>34</v>
      </c>
      <c r="H561" s="2" t="s">
        <v>909</v>
      </c>
      <c r="I561" s="2" t="n">
        <v>0</v>
      </c>
    </row>
    <row r="562" customFormat="false" ht="15" hidden="false" customHeight="false" outlineLevel="0" collapsed="false">
      <c r="A562" s="2" t="s">
        <v>1449</v>
      </c>
      <c r="B562" s="2" t="s">
        <v>1450</v>
      </c>
      <c r="C562" s="2" t="s">
        <v>1448</v>
      </c>
      <c r="D562" s="2" t="n">
        <v>2023</v>
      </c>
      <c r="E562" s="2" t="s">
        <v>12</v>
      </c>
      <c r="F562" s="2" t="s">
        <v>64</v>
      </c>
      <c r="G562" s="2" t="s">
        <v>23</v>
      </c>
      <c r="H562" s="2" t="s">
        <v>65</v>
      </c>
      <c r="I562" s="2" t="n">
        <v>0</v>
      </c>
    </row>
    <row r="563" customFormat="false" ht="15" hidden="false" customHeight="false" outlineLevel="0" collapsed="false">
      <c r="A563" s="2" t="s">
        <v>1451</v>
      </c>
      <c r="B563" s="2" t="s">
        <v>1452</v>
      </c>
      <c r="C563" s="2" t="s">
        <v>1453</v>
      </c>
      <c r="D563" s="2" t="n">
        <v>2023</v>
      </c>
      <c r="E563" s="2" t="s">
        <v>12</v>
      </c>
      <c r="F563" s="2" t="s">
        <v>64</v>
      </c>
      <c r="G563" s="2" t="s">
        <v>49</v>
      </c>
      <c r="H563" s="2" t="s">
        <v>65</v>
      </c>
      <c r="I563" s="2" t="n">
        <v>5</v>
      </c>
    </row>
    <row r="564" customFormat="false" ht="15" hidden="false" customHeight="false" outlineLevel="0" collapsed="false">
      <c r="A564" s="2" t="s">
        <v>1454</v>
      </c>
      <c r="B564" s="2" t="s">
        <v>1455</v>
      </c>
      <c r="C564" s="2" t="s">
        <v>1456</v>
      </c>
      <c r="D564" s="2" t="n">
        <v>2023</v>
      </c>
      <c r="E564" s="2" t="s">
        <v>60</v>
      </c>
      <c r="F564" s="2" t="s">
        <v>26</v>
      </c>
      <c r="G564" s="2" t="s">
        <v>27</v>
      </c>
      <c r="H564" s="2" t="s">
        <v>28</v>
      </c>
      <c r="I564" s="2" t="n">
        <v>0</v>
      </c>
    </row>
    <row r="565" customFormat="false" ht="15" hidden="false" customHeight="false" outlineLevel="0" collapsed="false">
      <c r="A565" s="2" t="s">
        <v>1457</v>
      </c>
      <c r="B565" s="2" t="s">
        <v>1458</v>
      </c>
      <c r="C565" s="2" t="s">
        <v>1456</v>
      </c>
      <c r="D565" s="2" t="n">
        <v>2023</v>
      </c>
      <c r="E565" s="2" t="s">
        <v>12</v>
      </c>
      <c r="F565" s="2" t="s">
        <v>64</v>
      </c>
      <c r="G565" s="2" t="s">
        <v>49</v>
      </c>
      <c r="H565" s="2" t="s">
        <v>65</v>
      </c>
      <c r="I565" s="2" t="n">
        <v>1</v>
      </c>
    </row>
    <row r="566" customFormat="false" ht="15" hidden="false" customHeight="false" outlineLevel="0" collapsed="false">
      <c r="A566" s="2" t="s">
        <v>1459</v>
      </c>
      <c r="B566" s="2" t="s">
        <v>1460</v>
      </c>
      <c r="C566" s="2" t="s">
        <v>1461</v>
      </c>
      <c r="D566" s="2" t="n">
        <v>2023</v>
      </c>
      <c r="E566" s="2" t="s">
        <v>12</v>
      </c>
      <c r="F566" s="2" t="s">
        <v>13</v>
      </c>
      <c r="G566" s="2" t="s">
        <v>14</v>
      </c>
      <c r="H566" s="2" t="s">
        <v>15</v>
      </c>
      <c r="I566" s="2" t="n">
        <v>2</v>
      </c>
    </row>
    <row r="567" customFormat="false" ht="15" hidden="false" customHeight="false" outlineLevel="0" collapsed="false">
      <c r="A567" s="2" t="s">
        <v>1462</v>
      </c>
      <c r="B567" s="2" t="s">
        <v>1463</v>
      </c>
      <c r="C567" s="2" t="s">
        <v>1461</v>
      </c>
      <c r="D567" s="2" t="n">
        <v>2023</v>
      </c>
      <c r="E567" s="2" t="s">
        <v>12</v>
      </c>
      <c r="F567" s="2" t="s">
        <v>26</v>
      </c>
      <c r="G567" s="2" t="s">
        <v>49</v>
      </c>
      <c r="H567" s="2" t="s">
        <v>28</v>
      </c>
      <c r="I567" s="2" t="n">
        <v>70</v>
      </c>
    </row>
    <row r="568" customFormat="false" ht="15" hidden="false" customHeight="false" outlineLevel="0" collapsed="false">
      <c r="A568" s="2" t="s">
        <v>1464</v>
      </c>
      <c r="B568" s="2" t="s">
        <v>1465</v>
      </c>
      <c r="C568" s="2" t="s">
        <v>1461</v>
      </c>
      <c r="D568" s="2" t="n">
        <v>2023</v>
      </c>
      <c r="E568" s="2" t="s">
        <v>12</v>
      </c>
      <c r="F568" s="2" t="s">
        <v>64</v>
      </c>
      <c r="G568" s="2" t="s">
        <v>73</v>
      </c>
      <c r="H568" s="2" t="s">
        <v>65</v>
      </c>
      <c r="I568" s="2" t="n">
        <v>0</v>
      </c>
    </row>
    <row r="569" customFormat="false" ht="15" hidden="false" customHeight="false" outlineLevel="0" collapsed="false">
      <c r="A569" s="2" t="s">
        <v>1466</v>
      </c>
      <c r="B569" s="2" t="s">
        <v>1467</v>
      </c>
      <c r="C569" s="2" t="s">
        <v>1468</v>
      </c>
      <c r="D569" s="2" t="n">
        <v>2023</v>
      </c>
      <c r="E569" s="2" t="s">
        <v>12</v>
      </c>
      <c r="F569" s="2" t="s">
        <v>64</v>
      </c>
      <c r="G569" s="2" t="s">
        <v>52</v>
      </c>
      <c r="H569" s="2" t="s">
        <v>65</v>
      </c>
      <c r="I569" s="2" t="n">
        <v>0</v>
      </c>
    </row>
    <row r="570" customFormat="false" ht="15" hidden="false" customHeight="false" outlineLevel="0" collapsed="false">
      <c r="A570" s="2" t="s">
        <v>1469</v>
      </c>
      <c r="B570" s="2" t="s">
        <v>1470</v>
      </c>
      <c r="C570" s="2" t="s">
        <v>1471</v>
      </c>
      <c r="D570" s="2" t="n">
        <v>2023</v>
      </c>
      <c r="E570" s="2" t="s">
        <v>12</v>
      </c>
      <c r="F570" s="2" t="s">
        <v>146</v>
      </c>
      <c r="G570" s="2" t="s">
        <v>49</v>
      </c>
      <c r="H570" s="2" t="s">
        <v>147</v>
      </c>
      <c r="I570" s="2" t="n">
        <v>0</v>
      </c>
    </row>
    <row r="571" customFormat="false" ht="15" hidden="false" customHeight="false" outlineLevel="0" collapsed="false">
      <c r="A571" s="2" t="s">
        <v>1472</v>
      </c>
      <c r="B571" s="2" t="s">
        <v>1473</v>
      </c>
      <c r="C571" s="2" t="s">
        <v>1474</v>
      </c>
      <c r="D571" s="2" t="n">
        <v>2023</v>
      </c>
      <c r="E571" s="2" t="s">
        <v>12</v>
      </c>
      <c r="F571" s="2" t="s">
        <v>18</v>
      </c>
      <c r="G571" s="2" t="s">
        <v>49</v>
      </c>
      <c r="H571" s="2" t="s">
        <v>20</v>
      </c>
      <c r="I571" s="2" t="n">
        <v>2</v>
      </c>
    </row>
    <row r="572" customFormat="false" ht="15" hidden="false" customHeight="false" outlineLevel="0" collapsed="false">
      <c r="A572" s="2" t="s">
        <v>1475</v>
      </c>
      <c r="B572" s="2" t="s">
        <v>1476</v>
      </c>
      <c r="C572" s="2" t="s">
        <v>1477</v>
      </c>
      <c r="D572" s="2" t="n">
        <v>2023</v>
      </c>
      <c r="E572" s="2" t="s">
        <v>12</v>
      </c>
      <c r="F572" s="2" t="s">
        <v>64</v>
      </c>
      <c r="G572" s="2" t="s">
        <v>27</v>
      </c>
      <c r="H572" s="2" t="s">
        <v>65</v>
      </c>
      <c r="I572" s="2" t="n">
        <v>1</v>
      </c>
    </row>
    <row r="573" customFormat="false" ht="15" hidden="false" customHeight="false" outlineLevel="0" collapsed="false">
      <c r="A573" s="2" t="s">
        <v>1478</v>
      </c>
      <c r="B573" s="2" t="s">
        <v>1479</v>
      </c>
      <c r="C573" s="2" t="s">
        <v>1480</v>
      </c>
      <c r="D573" s="2" t="n">
        <v>2023</v>
      </c>
      <c r="E573" s="2" t="s">
        <v>46</v>
      </c>
      <c r="F573" s="2" t="s">
        <v>908</v>
      </c>
      <c r="G573" s="2" t="s">
        <v>34</v>
      </c>
      <c r="H573" s="2" t="s">
        <v>909</v>
      </c>
      <c r="I573" s="2" t="n">
        <v>0</v>
      </c>
    </row>
    <row r="574" customFormat="false" ht="15" hidden="false" customHeight="false" outlineLevel="0" collapsed="false">
      <c r="A574" s="2" t="s">
        <v>1481</v>
      </c>
      <c r="B574" s="2" t="s">
        <v>1482</v>
      </c>
      <c r="C574" s="2" t="s">
        <v>1483</v>
      </c>
      <c r="D574" s="2" t="n">
        <v>2023</v>
      </c>
      <c r="E574" s="2" t="s">
        <v>60</v>
      </c>
      <c r="F574" s="2" t="s">
        <v>908</v>
      </c>
      <c r="G574" s="2" t="s">
        <v>49</v>
      </c>
      <c r="H574" s="2" t="s">
        <v>909</v>
      </c>
      <c r="I574" s="2" t="n">
        <v>0</v>
      </c>
    </row>
    <row r="575" customFormat="false" ht="15" hidden="false" customHeight="false" outlineLevel="0" collapsed="false">
      <c r="A575" s="2" t="s">
        <v>1484</v>
      </c>
      <c r="B575" s="2" t="s">
        <v>1485</v>
      </c>
      <c r="C575" s="2" t="s">
        <v>1483</v>
      </c>
      <c r="D575" s="2" t="n">
        <v>2023</v>
      </c>
      <c r="E575" s="2" t="s">
        <v>12</v>
      </c>
      <c r="F575" s="2" t="s">
        <v>1280</v>
      </c>
      <c r="G575" s="2" t="s">
        <v>107</v>
      </c>
      <c r="H575" s="2" t="s">
        <v>1281</v>
      </c>
      <c r="I575" s="2" t="n">
        <v>7</v>
      </c>
    </row>
    <row r="576" customFormat="false" ht="15" hidden="false" customHeight="false" outlineLevel="0" collapsed="false">
      <c r="A576" s="2" t="s">
        <v>1486</v>
      </c>
      <c r="B576" s="2" t="s">
        <v>1487</v>
      </c>
      <c r="C576" s="2" t="s">
        <v>1488</v>
      </c>
      <c r="D576" s="2" t="n">
        <v>2023</v>
      </c>
      <c r="E576" s="2" t="s">
        <v>12</v>
      </c>
      <c r="F576" s="2" t="s">
        <v>26</v>
      </c>
      <c r="G576" s="2" t="s">
        <v>107</v>
      </c>
      <c r="H576" s="2" t="s">
        <v>28</v>
      </c>
      <c r="I576" s="2" t="n">
        <v>5</v>
      </c>
    </row>
    <row r="577" customFormat="false" ht="15" hidden="false" customHeight="false" outlineLevel="0" collapsed="false">
      <c r="A577" s="2" t="s">
        <v>1489</v>
      </c>
      <c r="B577" s="2" t="s">
        <v>1490</v>
      </c>
      <c r="C577" s="2" t="s">
        <v>1491</v>
      </c>
      <c r="D577" s="2" t="n">
        <v>2023</v>
      </c>
      <c r="E577" s="2" t="s">
        <v>12</v>
      </c>
      <c r="F577" s="2" t="s">
        <v>18</v>
      </c>
      <c r="G577" s="2" t="s">
        <v>49</v>
      </c>
      <c r="H577" s="2" t="s">
        <v>20</v>
      </c>
      <c r="I577" s="2" t="n">
        <v>0</v>
      </c>
    </row>
    <row r="578" customFormat="false" ht="15" hidden="false" customHeight="false" outlineLevel="0" collapsed="false">
      <c r="A578" s="2" t="s">
        <v>1492</v>
      </c>
      <c r="B578" s="2" t="s">
        <v>1493</v>
      </c>
      <c r="C578" s="2" t="s">
        <v>1494</v>
      </c>
      <c r="D578" s="2" t="n">
        <v>2023</v>
      </c>
      <c r="E578" s="2" t="s">
        <v>40</v>
      </c>
      <c r="F578" s="2" t="s">
        <v>26</v>
      </c>
      <c r="G578" s="2" t="s">
        <v>52</v>
      </c>
      <c r="H578" s="2" t="s">
        <v>28</v>
      </c>
      <c r="I578" s="2" t="n">
        <v>0</v>
      </c>
    </row>
    <row r="579" customFormat="false" ht="15" hidden="false" customHeight="false" outlineLevel="0" collapsed="false">
      <c r="A579" s="2" t="s">
        <v>1495</v>
      </c>
      <c r="B579" s="2" t="s">
        <v>1496</v>
      </c>
      <c r="C579" s="2" t="s">
        <v>1497</v>
      </c>
      <c r="D579" s="2" t="n">
        <v>2023</v>
      </c>
      <c r="E579" s="2" t="s">
        <v>46</v>
      </c>
      <c r="F579" s="2" t="s">
        <v>26</v>
      </c>
      <c r="G579" s="2" t="s">
        <v>52</v>
      </c>
      <c r="H579" s="2" t="s">
        <v>28</v>
      </c>
      <c r="I579" s="2" t="n">
        <v>0</v>
      </c>
    </row>
    <row r="580" customFormat="false" ht="15" hidden="false" customHeight="false" outlineLevel="0" collapsed="false">
      <c r="A580" s="2" t="s">
        <v>1498</v>
      </c>
      <c r="B580" s="2" t="s">
        <v>1499</v>
      </c>
      <c r="C580" s="2" t="s">
        <v>1497</v>
      </c>
      <c r="D580" s="2" t="n">
        <v>2023</v>
      </c>
      <c r="E580" s="2" t="s">
        <v>46</v>
      </c>
      <c r="F580" s="2" t="s">
        <v>908</v>
      </c>
      <c r="G580" s="2" t="s">
        <v>49</v>
      </c>
      <c r="H580" s="2" t="s">
        <v>909</v>
      </c>
      <c r="I580" s="2" t="n">
        <v>0</v>
      </c>
    </row>
    <row r="581" customFormat="false" ht="15" hidden="false" customHeight="false" outlineLevel="0" collapsed="false">
      <c r="A581" s="2" t="s">
        <v>1500</v>
      </c>
      <c r="B581" s="2" t="s">
        <v>1501</v>
      </c>
      <c r="C581" s="2" t="s">
        <v>1502</v>
      </c>
      <c r="D581" s="2" t="n">
        <v>2023</v>
      </c>
      <c r="E581" s="2" t="s">
        <v>12</v>
      </c>
      <c r="F581" s="2" t="s">
        <v>908</v>
      </c>
      <c r="G581" s="2" t="s">
        <v>107</v>
      </c>
      <c r="H581" s="2" t="s">
        <v>909</v>
      </c>
      <c r="I581" s="2" t="n">
        <v>0</v>
      </c>
    </row>
    <row r="582" customFormat="false" ht="15" hidden="false" customHeight="false" outlineLevel="0" collapsed="false">
      <c r="A582" s="2" t="s">
        <v>1503</v>
      </c>
      <c r="B582" s="2" t="s">
        <v>1504</v>
      </c>
      <c r="C582" s="2" t="s">
        <v>1502</v>
      </c>
      <c r="D582" s="2" t="n">
        <v>2023</v>
      </c>
      <c r="E582" s="2" t="s">
        <v>12</v>
      </c>
      <c r="F582" s="2" t="s">
        <v>26</v>
      </c>
      <c r="G582" s="2" t="s">
        <v>27</v>
      </c>
      <c r="H582" s="2" t="s">
        <v>28</v>
      </c>
      <c r="I582" s="2" t="n">
        <v>66</v>
      </c>
    </row>
    <row r="583" customFormat="false" ht="15" hidden="false" customHeight="false" outlineLevel="0" collapsed="false">
      <c r="A583" s="2" t="s">
        <v>1505</v>
      </c>
      <c r="B583" s="2" t="s">
        <v>1506</v>
      </c>
      <c r="C583" s="2" t="s">
        <v>1507</v>
      </c>
      <c r="D583" s="2" t="n">
        <v>2023</v>
      </c>
      <c r="E583" s="2" t="s">
        <v>12</v>
      </c>
      <c r="F583" s="2" t="s">
        <v>146</v>
      </c>
      <c r="G583" s="2" t="s">
        <v>52</v>
      </c>
      <c r="H583" s="2" t="s">
        <v>147</v>
      </c>
      <c r="I583" s="2" t="n">
        <v>1</v>
      </c>
    </row>
    <row r="584" customFormat="false" ht="15" hidden="false" customHeight="false" outlineLevel="0" collapsed="false">
      <c r="A584" s="2" t="s">
        <v>1508</v>
      </c>
      <c r="B584" s="2" t="s">
        <v>1509</v>
      </c>
      <c r="C584" s="2" t="s">
        <v>1510</v>
      </c>
      <c r="D584" s="2" t="n">
        <v>2023</v>
      </c>
      <c r="E584" s="2" t="s">
        <v>12</v>
      </c>
      <c r="F584" s="2" t="s">
        <v>908</v>
      </c>
      <c r="G584" s="2" t="s">
        <v>49</v>
      </c>
      <c r="H584" s="2" t="s">
        <v>909</v>
      </c>
      <c r="I584" s="2" t="n">
        <v>11</v>
      </c>
    </row>
    <row r="585" customFormat="false" ht="15" hidden="false" customHeight="false" outlineLevel="0" collapsed="false">
      <c r="A585" s="2" t="s">
        <v>1511</v>
      </c>
      <c r="B585" s="2" t="s">
        <v>1512</v>
      </c>
      <c r="C585" s="2" t="s">
        <v>1513</v>
      </c>
      <c r="D585" s="2" t="n">
        <v>2023</v>
      </c>
      <c r="E585" s="2" t="s">
        <v>40</v>
      </c>
      <c r="F585" s="2" t="s">
        <v>41</v>
      </c>
      <c r="G585" s="2" t="s">
        <v>14</v>
      </c>
      <c r="H585" s="2" t="s">
        <v>42</v>
      </c>
      <c r="I585" s="2" t="n">
        <v>0</v>
      </c>
    </row>
    <row r="586" customFormat="false" ht="15" hidden="false" customHeight="false" outlineLevel="0" collapsed="false">
      <c r="A586" s="2" t="s">
        <v>1514</v>
      </c>
      <c r="B586" s="2" t="s">
        <v>1515</v>
      </c>
      <c r="C586" s="2" t="s">
        <v>1516</v>
      </c>
      <c r="D586" s="2" t="n">
        <v>2023</v>
      </c>
      <c r="E586" s="2" t="s">
        <v>46</v>
      </c>
      <c r="F586" s="2" t="s">
        <v>64</v>
      </c>
      <c r="G586" s="2" t="s">
        <v>107</v>
      </c>
      <c r="H586" s="2" t="s">
        <v>65</v>
      </c>
      <c r="I586" s="2" t="n">
        <v>0</v>
      </c>
    </row>
    <row r="587" customFormat="false" ht="15" hidden="false" customHeight="false" outlineLevel="0" collapsed="false">
      <c r="A587" s="2" t="s">
        <v>1517</v>
      </c>
      <c r="B587" s="2" t="s">
        <v>1518</v>
      </c>
      <c r="C587" s="2" t="s">
        <v>1516</v>
      </c>
      <c r="D587" s="2" t="n">
        <v>2023</v>
      </c>
      <c r="E587" s="2" t="s">
        <v>46</v>
      </c>
      <c r="F587" s="2" t="s">
        <v>64</v>
      </c>
      <c r="G587" s="2" t="s">
        <v>14</v>
      </c>
      <c r="H587" s="2" t="s">
        <v>65</v>
      </c>
      <c r="I587" s="2" t="n">
        <v>0</v>
      </c>
    </row>
    <row r="588" customFormat="false" ht="15" hidden="false" customHeight="false" outlineLevel="0" collapsed="false">
      <c r="A588" s="2" t="s">
        <v>1519</v>
      </c>
      <c r="B588" s="2" t="s">
        <v>1520</v>
      </c>
      <c r="C588" s="2" t="s">
        <v>1521</v>
      </c>
      <c r="D588" s="2" t="n">
        <v>2023</v>
      </c>
      <c r="E588" s="2" t="s">
        <v>12</v>
      </c>
      <c r="F588" s="2" t="s">
        <v>64</v>
      </c>
      <c r="G588" s="2" t="s">
        <v>27</v>
      </c>
      <c r="H588" s="2" t="s">
        <v>65</v>
      </c>
      <c r="I588" s="2" t="n">
        <v>41</v>
      </c>
    </row>
    <row r="589" customFormat="false" ht="15" hidden="false" customHeight="false" outlineLevel="0" collapsed="false">
      <c r="A589" s="2" t="s">
        <v>1522</v>
      </c>
      <c r="B589" s="2" t="s">
        <v>1523</v>
      </c>
      <c r="C589" s="2" t="s">
        <v>1521</v>
      </c>
      <c r="D589" s="2" t="n">
        <v>2023</v>
      </c>
      <c r="E589" s="2" t="s">
        <v>12</v>
      </c>
      <c r="F589" s="2" t="s">
        <v>64</v>
      </c>
      <c r="G589" s="2" t="s">
        <v>27</v>
      </c>
      <c r="H589" s="2" t="s">
        <v>65</v>
      </c>
      <c r="I589" s="2" t="n">
        <v>26</v>
      </c>
    </row>
    <row r="590" customFormat="false" ht="15" hidden="false" customHeight="false" outlineLevel="0" collapsed="false">
      <c r="A590" s="2" t="s">
        <v>1524</v>
      </c>
      <c r="B590" s="2" t="s">
        <v>1525</v>
      </c>
      <c r="C590" s="2" t="s">
        <v>1526</v>
      </c>
      <c r="D590" s="2" t="n">
        <v>2023</v>
      </c>
      <c r="E590" s="2" t="s">
        <v>12</v>
      </c>
      <c r="F590" s="2" t="s">
        <v>55</v>
      </c>
      <c r="G590" s="2" t="s">
        <v>14</v>
      </c>
      <c r="H590" s="2" t="s">
        <v>1527</v>
      </c>
      <c r="I590" s="2" t="n">
        <v>0</v>
      </c>
    </row>
    <row r="591" customFormat="false" ht="15" hidden="false" customHeight="false" outlineLevel="0" collapsed="false">
      <c r="A591" s="2" t="s">
        <v>1528</v>
      </c>
      <c r="B591" s="2" t="s">
        <v>1529</v>
      </c>
      <c r="C591" s="2" t="s">
        <v>1530</v>
      </c>
      <c r="D591" s="2" t="n">
        <v>2023</v>
      </c>
      <c r="E591" s="2" t="s">
        <v>12</v>
      </c>
      <c r="F591" s="2" t="s">
        <v>908</v>
      </c>
      <c r="G591" s="2" t="s">
        <v>49</v>
      </c>
      <c r="H591" s="2" t="s">
        <v>909</v>
      </c>
      <c r="I591" s="2" t="n">
        <v>0</v>
      </c>
    </row>
    <row r="592" customFormat="false" ht="15" hidden="false" customHeight="false" outlineLevel="0" collapsed="false">
      <c r="A592" s="2" t="s">
        <v>1531</v>
      </c>
      <c r="B592" s="2" t="s">
        <v>1532</v>
      </c>
      <c r="C592" s="2" t="s">
        <v>1530</v>
      </c>
      <c r="D592" s="2" t="n">
        <v>2023</v>
      </c>
      <c r="E592" s="2" t="s">
        <v>12</v>
      </c>
      <c r="F592" s="2" t="s">
        <v>26</v>
      </c>
      <c r="G592" s="2" t="s">
        <v>52</v>
      </c>
      <c r="H592" s="2" t="s">
        <v>28</v>
      </c>
      <c r="I592" s="2" t="n">
        <v>3</v>
      </c>
    </row>
    <row r="593" customFormat="false" ht="15" hidden="false" customHeight="false" outlineLevel="0" collapsed="false">
      <c r="A593" s="2" t="s">
        <v>1533</v>
      </c>
      <c r="B593" s="2" t="s">
        <v>1534</v>
      </c>
      <c r="C593" s="2" t="s">
        <v>1535</v>
      </c>
      <c r="D593" s="2" t="n">
        <v>2023</v>
      </c>
      <c r="E593" s="2" t="s">
        <v>12</v>
      </c>
      <c r="F593" s="2" t="s">
        <v>64</v>
      </c>
      <c r="G593" s="2" t="s">
        <v>52</v>
      </c>
      <c r="H593" s="2" t="s">
        <v>65</v>
      </c>
      <c r="I593" s="2" t="n">
        <v>1</v>
      </c>
    </row>
    <row r="594" customFormat="false" ht="15" hidden="false" customHeight="false" outlineLevel="0" collapsed="false">
      <c r="A594" s="2" t="s">
        <v>1536</v>
      </c>
      <c r="B594" s="2" t="s">
        <v>1537</v>
      </c>
      <c r="C594" s="2" t="s">
        <v>1538</v>
      </c>
      <c r="D594" s="2" t="n">
        <v>2023</v>
      </c>
      <c r="E594" s="2" t="s">
        <v>12</v>
      </c>
      <c r="F594" s="2" t="s">
        <v>64</v>
      </c>
      <c r="G594" s="2" t="s">
        <v>52</v>
      </c>
      <c r="H594" s="2" t="s">
        <v>65</v>
      </c>
      <c r="I594" s="2" t="n">
        <v>3</v>
      </c>
    </row>
    <row r="595" customFormat="false" ht="15" hidden="false" customHeight="false" outlineLevel="0" collapsed="false">
      <c r="A595" s="2" t="s">
        <v>1539</v>
      </c>
      <c r="B595" s="2" t="s">
        <v>1540</v>
      </c>
      <c r="C595" s="2" t="s">
        <v>1541</v>
      </c>
      <c r="D595" s="2" t="n">
        <v>2023</v>
      </c>
      <c r="E595" s="2" t="s">
        <v>12</v>
      </c>
      <c r="F595" s="2" t="s">
        <v>18</v>
      </c>
      <c r="G595" s="2" t="s">
        <v>14</v>
      </c>
      <c r="H595" s="2" t="s">
        <v>20</v>
      </c>
      <c r="I595" s="2" t="n">
        <v>2</v>
      </c>
    </row>
    <row r="596" customFormat="false" ht="15" hidden="false" customHeight="false" outlineLevel="0" collapsed="false">
      <c r="A596" s="2" t="s">
        <v>1542</v>
      </c>
      <c r="B596" s="2" t="s">
        <v>1543</v>
      </c>
      <c r="C596" s="2" t="s">
        <v>1544</v>
      </c>
      <c r="D596" s="2" t="n">
        <v>2023</v>
      </c>
      <c r="E596" s="2" t="s">
        <v>12</v>
      </c>
      <c r="F596" s="2" t="s">
        <v>64</v>
      </c>
      <c r="G596" s="2" t="s">
        <v>73</v>
      </c>
      <c r="H596" s="2" t="s">
        <v>65</v>
      </c>
      <c r="I596" s="2" t="n">
        <v>2</v>
      </c>
    </row>
    <row r="597" customFormat="false" ht="15" hidden="false" customHeight="false" outlineLevel="0" collapsed="false">
      <c r="A597" s="2" t="s">
        <v>1545</v>
      </c>
      <c r="B597" s="2" t="s">
        <v>1546</v>
      </c>
      <c r="C597" s="2" t="s">
        <v>1547</v>
      </c>
      <c r="D597" s="2" t="n">
        <v>2023</v>
      </c>
      <c r="E597" s="2" t="s">
        <v>12</v>
      </c>
      <c r="F597" s="2" t="s">
        <v>18</v>
      </c>
      <c r="G597" s="2" t="s">
        <v>14</v>
      </c>
      <c r="H597" s="2" t="s">
        <v>20</v>
      </c>
      <c r="I597" s="2" t="n">
        <v>12</v>
      </c>
    </row>
    <row r="598" customFormat="false" ht="15" hidden="false" customHeight="false" outlineLevel="0" collapsed="false">
      <c r="A598" s="2" t="s">
        <v>1548</v>
      </c>
      <c r="B598" s="2" t="s">
        <v>1549</v>
      </c>
      <c r="C598" s="2" t="s">
        <v>1550</v>
      </c>
      <c r="D598" s="2" t="n">
        <v>2023</v>
      </c>
      <c r="E598" s="2" t="s">
        <v>40</v>
      </c>
      <c r="F598" s="2" t="s">
        <v>41</v>
      </c>
      <c r="G598" s="2" t="s">
        <v>52</v>
      </c>
      <c r="H598" s="2" t="s">
        <v>276</v>
      </c>
      <c r="I598" s="2" t="n">
        <v>3</v>
      </c>
    </row>
    <row r="599" customFormat="false" ht="15" hidden="false" customHeight="false" outlineLevel="0" collapsed="false">
      <c r="A599" s="2" t="s">
        <v>1551</v>
      </c>
      <c r="B599" s="2" t="s">
        <v>1552</v>
      </c>
      <c r="C599" s="2" t="s">
        <v>1553</v>
      </c>
      <c r="D599" s="2" t="n">
        <v>2023</v>
      </c>
      <c r="E599" s="2" t="s">
        <v>1554</v>
      </c>
      <c r="F599" s="2" t="s">
        <v>55</v>
      </c>
      <c r="G599" s="2" t="s">
        <v>52</v>
      </c>
      <c r="H599" s="2" t="s">
        <v>1527</v>
      </c>
      <c r="I599" s="2" t="n">
        <v>0</v>
      </c>
    </row>
    <row r="600" customFormat="false" ht="15" hidden="false" customHeight="false" outlineLevel="0" collapsed="false">
      <c r="A600" s="2" t="s">
        <v>1555</v>
      </c>
      <c r="B600" s="2" t="s">
        <v>1556</v>
      </c>
      <c r="C600" s="2" t="s">
        <v>1557</v>
      </c>
      <c r="D600" s="2" t="n">
        <v>2023</v>
      </c>
      <c r="E600" s="2" t="s">
        <v>46</v>
      </c>
      <c r="F600" s="2" t="s">
        <v>26</v>
      </c>
      <c r="G600" s="2" t="s">
        <v>49</v>
      </c>
      <c r="H600" s="2" t="s">
        <v>28</v>
      </c>
      <c r="I600" s="2" t="n">
        <v>0</v>
      </c>
    </row>
    <row r="601" customFormat="false" ht="15" hidden="false" customHeight="false" outlineLevel="0" collapsed="false">
      <c r="A601" s="2" t="s">
        <v>1558</v>
      </c>
      <c r="B601" s="2" t="s">
        <v>1559</v>
      </c>
      <c r="C601" s="2" t="s">
        <v>1560</v>
      </c>
      <c r="D601" s="2" t="n">
        <v>2023</v>
      </c>
      <c r="E601" s="2" t="s">
        <v>12</v>
      </c>
      <c r="F601" s="2" t="s">
        <v>64</v>
      </c>
      <c r="G601" s="2" t="s">
        <v>27</v>
      </c>
      <c r="H601" s="2" t="s">
        <v>65</v>
      </c>
      <c r="I601" s="2" t="n">
        <v>3</v>
      </c>
    </row>
    <row r="602" customFormat="false" ht="15" hidden="false" customHeight="false" outlineLevel="0" collapsed="false">
      <c r="A602" s="2" t="s">
        <v>1561</v>
      </c>
      <c r="B602" s="2" t="s">
        <v>1562</v>
      </c>
      <c r="C602" s="2" t="s">
        <v>1563</v>
      </c>
      <c r="D602" s="2" t="n">
        <v>2023</v>
      </c>
      <c r="E602" s="2" t="s">
        <v>12</v>
      </c>
      <c r="F602" s="2" t="s">
        <v>13</v>
      </c>
      <c r="G602" s="2" t="s">
        <v>14</v>
      </c>
      <c r="H602" s="2" t="s">
        <v>15</v>
      </c>
      <c r="I602" s="2" t="n">
        <v>4</v>
      </c>
    </row>
    <row r="603" customFormat="false" ht="15" hidden="false" customHeight="false" outlineLevel="0" collapsed="false">
      <c r="A603" s="2" t="s">
        <v>1564</v>
      </c>
      <c r="B603" s="2" t="s">
        <v>1565</v>
      </c>
      <c r="C603" s="2" t="s">
        <v>1566</v>
      </c>
      <c r="D603" s="2" t="n">
        <v>2023</v>
      </c>
      <c r="E603" s="2" t="s">
        <v>46</v>
      </c>
      <c r="F603" s="2" t="s">
        <v>26</v>
      </c>
      <c r="G603" s="2" t="s">
        <v>27</v>
      </c>
      <c r="H603" s="2" t="s">
        <v>28</v>
      </c>
      <c r="I603" s="2" t="n">
        <v>0</v>
      </c>
    </row>
    <row r="604" customFormat="false" ht="15" hidden="false" customHeight="false" outlineLevel="0" collapsed="false">
      <c r="A604" s="2" t="s">
        <v>1567</v>
      </c>
      <c r="B604" s="2" t="s">
        <v>1568</v>
      </c>
      <c r="C604" s="2" t="s">
        <v>1569</v>
      </c>
      <c r="D604" s="2" t="n">
        <v>2023</v>
      </c>
      <c r="E604" s="2" t="s">
        <v>12</v>
      </c>
      <c r="F604" s="2" t="s">
        <v>26</v>
      </c>
      <c r="G604" s="2" t="s">
        <v>49</v>
      </c>
      <c r="H604" s="2" t="s">
        <v>28</v>
      </c>
      <c r="I604" s="2" t="n">
        <v>2</v>
      </c>
    </row>
    <row r="605" customFormat="false" ht="15" hidden="false" customHeight="false" outlineLevel="0" collapsed="false">
      <c r="A605" s="2" t="s">
        <v>1570</v>
      </c>
      <c r="B605" s="2" t="s">
        <v>1571</v>
      </c>
      <c r="C605" s="2" t="s">
        <v>1572</v>
      </c>
      <c r="D605" s="2" t="n">
        <v>2023</v>
      </c>
      <c r="E605" s="2" t="s">
        <v>12</v>
      </c>
      <c r="F605" s="2" t="s">
        <v>146</v>
      </c>
      <c r="G605" s="2" t="s">
        <v>52</v>
      </c>
      <c r="H605" s="2" t="s">
        <v>147</v>
      </c>
      <c r="I605" s="2" t="n">
        <v>3</v>
      </c>
    </row>
    <row r="606" customFormat="false" ht="15" hidden="false" customHeight="false" outlineLevel="0" collapsed="false">
      <c r="A606" s="2" t="s">
        <v>1573</v>
      </c>
      <c r="B606" s="2" t="s">
        <v>1574</v>
      </c>
      <c r="C606" s="2" t="s">
        <v>1575</v>
      </c>
      <c r="D606" s="2" t="n">
        <v>2023</v>
      </c>
      <c r="E606" s="2" t="s">
        <v>12</v>
      </c>
      <c r="F606" s="2" t="s">
        <v>55</v>
      </c>
      <c r="G606" s="2" t="s">
        <v>52</v>
      </c>
      <c r="H606" s="2" t="s">
        <v>56</v>
      </c>
      <c r="I606" s="2" t="n">
        <v>17</v>
      </c>
    </row>
    <row r="607" customFormat="false" ht="15" hidden="false" customHeight="false" outlineLevel="0" collapsed="false">
      <c r="A607" s="2" t="s">
        <v>1576</v>
      </c>
      <c r="B607" s="2" t="s">
        <v>1577</v>
      </c>
      <c r="C607" s="2" t="s">
        <v>1575</v>
      </c>
      <c r="D607" s="2" t="n">
        <v>2023</v>
      </c>
      <c r="E607" s="2" t="s">
        <v>12</v>
      </c>
      <c r="F607" s="2" t="s">
        <v>908</v>
      </c>
      <c r="G607" s="2" t="s">
        <v>34</v>
      </c>
      <c r="H607" s="2" t="s">
        <v>909</v>
      </c>
      <c r="I607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4"/>
  </cols>
  <sheetData>
    <row r="1" customFormat="false" ht="15" hidden="false" customHeight="false" outlineLevel="0" collapsed="false">
      <c r="A1" s="1" t="s">
        <v>1578</v>
      </c>
      <c r="B1" s="1" t="s">
        <v>1579</v>
      </c>
    </row>
    <row r="2" customFormat="false" ht="15" hidden="false" customHeight="false" outlineLevel="0" collapsed="false">
      <c r="A2" s="3" t="s">
        <v>52</v>
      </c>
      <c r="B2" s="2" t="n">
        <f aca="false">COUNTIF('Landscape Data'!G2:G607,A2)</f>
        <v>118</v>
      </c>
    </row>
    <row r="3" customFormat="false" ht="15" hidden="false" customHeight="false" outlineLevel="0" collapsed="false">
      <c r="A3" s="3" t="s">
        <v>37</v>
      </c>
      <c r="B3" s="2" t="n">
        <f aca="false">COUNTIF('Landscape Data'!G2:G607,A3)</f>
        <v>74</v>
      </c>
    </row>
    <row r="4" customFormat="false" ht="15" hidden="false" customHeight="false" outlineLevel="0" collapsed="false">
      <c r="A4" s="3" t="s">
        <v>27</v>
      </c>
      <c r="B4" s="2" t="n">
        <f aca="false">COUNTIF('Landscape Data'!G2:G607,A4)</f>
        <v>73</v>
      </c>
    </row>
    <row r="5" customFormat="false" ht="15" hidden="false" customHeight="false" outlineLevel="0" collapsed="false">
      <c r="A5" s="3" t="s">
        <v>49</v>
      </c>
      <c r="B5" s="2" t="n">
        <f aca="false">COUNTIF('Landscape Data'!G2:G607,A5)</f>
        <v>72</v>
      </c>
    </row>
    <row r="6" customFormat="false" ht="15" hidden="false" customHeight="false" outlineLevel="0" collapsed="false">
      <c r="A6" s="3" t="s">
        <v>14</v>
      </c>
      <c r="B6" s="2" t="n">
        <f aca="false">COUNTIF('Landscape Data'!G2:G607,A6)</f>
        <v>62</v>
      </c>
    </row>
    <row r="7" customFormat="false" ht="15" hidden="false" customHeight="false" outlineLevel="0" collapsed="false">
      <c r="A7" s="3" t="s">
        <v>23</v>
      </c>
      <c r="B7" s="2" t="n">
        <f aca="false">COUNTIF('Landscape Data'!G2:G607,A7)</f>
        <v>57</v>
      </c>
    </row>
    <row r="8" customFormat="false" ht="15" hidden="false" customHeight="false" outlineLevel="0" collapsed="false">
      <c r="A8" s="3" t="s">
        <v>73</v>
      </c>
      <c r="B8" s="2" t="n">
        <f aca="false">COUNTIF('Landscape Data'!G2:G607,A8)</f>
        <v>51</v>
      </c>
    </row>
    <row r="9" customFormat="false" ht="15" hidden="false" customHeight="false" outlineLevel="0" collapsed="false">
      <c r="A9" s="3" t="s">
        <v>107</v>
      </c>
      <c r="B9" s="2" t="n">
        <f aca="false">COUNTIF('Landscape Data'!G2:G607,A9)</f>
        <v>47</v>
      </c>
    </row>
    <row r="10" customFormat="false" ht="15" hidden="false" customHeight="false" outlineLevel="0" collapsed="false">
      <c r="A10" s="3" t="s">
        <v>34</v>
      </c>
      <c r="B10" s="2" t="n">
        <f aca="false">COUNTIF('Landscape Data'!G2:G607,A10)</f>
        <v>45</v>
      </c>
    </row>
    <row r="11" customFormat="false" ht="15" hidden="false" customHeight="false" outlineLevel="0" collapsed="false">
      <c r="A11" s="3" t="s">
        <v>19</v>
      </c>
      <c r="B11" s="2" t="n">
        <f aca="false">COUNTIF('Landscape Data'!G2:G607,A11)</f>
        <v>7</v>
      </c>
    </row>
    <row r="12" customFormat="false" ht="15" hidden="false" customHeight="false" outlineLevel="0" collapsed="false">
      <c r="A12" s="4" t="s">
        <v>1580</v>
      </c>
      <c r="B12" s="5" t="n">
        <f aca="false">SUM(B2:B11)</f>
        <v>606</v>
      </c>
    </row>
    <row r="14" customFormat="false" ht="15" hidden="false" customHeight="false" outlineLevel="0" collapsed="false">
      <c r="A14" s="1" t="s">
        <v>1581</v>
      </c>
      <c r="B14" s="1" t="s">
        <v>1579</v>
      </c>
    </row>
    <row r="15" customFormat="false" ht="15" hidden="false" customHeight="false" outlineLevel="0" collapsed="false">
      <c r="A15" s="3" t="s">
        <v>26</v>
      </c>
      <c r="B15" s="2" t="n">
        <f aca="false">COUNTIF('Landscape Data'!F2:F607,A15)</f>
        <v>154</v>
      </c>
    </row>
    <row r="16" customFormat="false" ht="15" hidden="false" customHeight="false" outlineLevel="0" collapsed="false">
      <c r="A16" s="3" t="s">
        <v>64</v>
      </c>
      <c r="B16" s="2" t="n">
        <f aca="false">COUNTIF('Landscape Data'!F2:F607,A16)</f>
        <v>133</v>
      </c>
    </row>
    <row r="17" customFormat="false" ht="15" hidden="false" customHeight="false" outlineLevel="0" collapsed="false">
      <c r="A17" s="3" t="s">
        <v>13</v>
      </c>
      <c r="B17" s="2" t="n">
        <f aca="false">COUNTIF('Landscape Data'!F2:F607,A17)</f>
        <v>102</v>
      </c>
    </row>
    <row r="18" customFormat="false" ht="15" hidden="false" customHeight="false" outlineLevel="0" collapsed="false">
      <c r="A18" s="3" t="s">
        <v>82</v>
      </c>
      <c r="B18" s="2" t="n">
        <f aca="false">COUNTIF('Landscape Data'!F2:F607,A18)</f>
        <v>50</v>
      </c>
    </row>
    <row r="19" customFormat="false" ht="15" hidden="false" customHeight="false" outlineLevel="0" collapsed="false">
      <c r="A19" s="3" t="s">
        <v>146</v>
      </c>
      <c r="B19" s="2" t="n">
        <f aca="false">COUNTIF('Landscape Data'!F2:F607,A19)</f>
        <v>38</v>
      </c>
    </row>
    <row r="20" customFormat="false" ht="15" hidden="false" customHeight="false" outlineLevel="0" collapsed="false">
      <c r="A20" s="3" t="s">
        <v>55</v>
      </c>
      <c r="B20" s="2" t="n">
        <f aca="false">COUNTIF('Landscape Data'!F2:F607,A20)</f>
        <v>31</v>
      </c>
    </row>
    <row r="21" customFormat="false" ht="15" hidden="false" customHeight="false" outlineLevel="0" collapsed="false">
      <c r="A21" s="3" t="s">
        <v>155</v>
      </c>
      <c r="B21" s="2" t="n">
        <f aca="false">COUNTIF('Landscape Data'!F2:F607,A21)</f>
        <v>25</v>
      </c>
    </row>
    <row r="22" customFormat="false" ht="15" hidden="false" customHeight="false" outlineLevel="0" collapsed="false">
      <c r="A22" s="3" t="s">
        <v>18</v>
      </c>
      <c r="B22" s="2" t="n">
        <f aca="false">COUNTIF('Landscape Data'!F2:F607,A22)</f>
        <v>19</v>
      </c>
    </row>
    <row r="23" customFormat="false" ht="15" hidden="false" customHeight="false" outlineLevel="0" collapsed="false">
      <c r="A23" s="3" t="s">
        <v>908</v>
      </c>
      <c r="B23" s="2" t="n">
        <f aca="false">COUNTIF('Landscape Data'!F2:F607,A23)</f>
        <v>17</v>
      </c>
    </row>
    <row r="24" customFormat="false" ht="15" hidden="false" customHeight="false" outlineLevel="0" collapsed="false">
      <c r="A24" s="3" t="s">
        <v>41</v>
      </c>
      <c r="B24" s="2" t="n">
        <f aca="false">COUNTIF('Landscape Data'!F2:F607,A24)</f>
        <v>11</v>
      </c>
    </row>
    <row r="26" customFormat="false" ht="15" hidden="false" customHeight="false" outlineLevel="0" collapsed="false">
      <c r="A26" s="1" t="s">
        <v>1582</v>
      </c>
      <c r="B26" s="1" t="s">
        <v>1579</v>
      </c>
    </row>
    <row r="27" customFormat="false" ht="15" hidden="false" customHeight="false" outlineLevel="0" collapsed="false">
      <c r="A27" s="3" t="s">
        <v>1583</v>
      </c>
      <c r="B27" s="2" t="n">
        <f aca="false">COUNTIF('Landscape Data'!D2:D607,2023)</f>
        <v>60</v>
      </c>
    </row>
    <row r="28" customFormat="false" ht="15" hidden="false" customHeight="false" outlineLevel="0" collapsed="false">
      <c r="A28" s="3" t="s">
        <v>1584</v>
      </c>
      <c r="B28" s="2" t="n">
        <f aca="false">COUNTIF('Landscape Data'!D2:D607,2024)</f>
        <v>87</v>
      </c>
    </row>
    <row r="29" customFormat="false" ht="15" hidden="false" customHeight="false" outlineLevel="0" collapsed="false">
      <c r="A29" s="3" t="s">
        <v>1585</v>
      </c>
      <c r="B29" s="2" t="n">
        <f aca="false">COUNTIF('Landscape Data'!D2:D607,2025)</f>
        <v>222</v>
      </c>
    </row>
    <row r="30" customFormat="false" ht="15" hidden="false" customHeight="false" outlineLevel="0" collapsed="false">
      <c r="A30" s="3" t="s">
        <v>1586</v>
      </c>
      <c r="B30" s="2" t="n">
        <f aca="false">COUNTIF('Landscape Data'!D2:D607,2026)</f>
        <v>237</v>
      </c>
    </row>
    <row r="33" customFormat="false" ht="15" hidden="false" customHeight="false" outlineLevel="0" collapsed="false">
      <c r="A33" s="1" t="s">
        <v>1587</v>
      </c>
      <c r="B33" s="1" t="s">
        <v>1583</v>
      </c>
      <c r="C33" s="1" t="s">
        <v>1584</v>
      </c>
      <c r="D33" s="1" t="s">
        <v>1585</v>
      </c>
      <c r="E33" s="1" t="s">
        <v>1586</v>
      </c>
    </row>
    <row r="34" customFormat="false" ht="15" hidden="false" customHeight="false" outlineLevel="0" collapsed="false">
      <c r="A34" s="3" t="s">
        <v>52</v>
      </c>
      <c r="B34" s="2" t="n">
        <f aca="false">COUNTIFS('Landscape Data'!G$2:G$607,$A34,'Landscape Data'!D$2:D$607,2023)</f>
        <v>16</v>
      </c>
      <c r="C34" s="2" t="n">
        <f aca="false">COUNTIFS('Landscape Data'!G$2:G$607,$A34,'Landscape Data'!D$2:D$607,2024)</f>
        <v>21</v>
      </c>
      <c r="D34" s="2" t="n">
        <f aca="false">COUNTIFS('Landscape Data'!G$2:G$607,$A34,'Landscape Data'!D$2:D$607,2025)</f>
        <v>40</v>
      </c>
      <c r="E34" s="2" t="n">
        <f aca="false">COUNTIFS('Landscape Data'!G$2:G$607,$A34,'Landscape Data'!D$2:D$607,2026)</f>
        <v>41</v>
      </c>
    </row>
    <row r="35" customFormat="false" ht="15" hidden="false" customHeight="false" outlineLevel="0" collapsed="false">
      <c r="A35" s="3" t="s">
        <v>37</v>
      </c>
      <c r="B35" s="2" t="n">
        <f aca="false">COUNTIFS('Landscape Data'!G$2:G$607,$A35,'Landscape Data'!D$2:D$607,2023)</f>
        <v>0</v>
      </c>
      <c r="C35" s="2" t="n">
        <f aca="false">COUNTIFS('Landscape Data'!G$2:G$607,$A35,'Landscape Data'!D$2:D$607,2024)</f>
        <v>1</v>
      </c>
      <c r="D35" s="2" t="n">
        <f aca="false">COUNTIFS('Landscape Data'!G$2:G$607,$A35,'Landscape Data'!D$2:D$607,2025)</f>
        <v>34</v>
      </c>
      <c r="E35" s="2" t="n">
        <f aca="false">COUNTIFS('Landscape Data'!G$2:G$607,$A35,'Landscape Data'!D$2:D$607,2026)</f>
        <v>39</v>
      </c>
    </row>
    <row r="36" customFormat="false" ht="15" hidden="false" customHeight="false" outlineLevel="0" collapsed="false">
      <c r="A36" s="3" t="s">
        <v>27</v>
      </c>
      <c r="B36" s="2" t="n">
        <f aca="false">COUNTIFS('Landscape Data'!G$2:G$607,$A36,'Landscape Data'!D$2:D$607,2023)</f>
        <v>7</v>
      </c>
      <c r="C36" s="2" t="n">
        <f aca="false">COUNTIFS('Landscape Data'!G$2:G$607,$A36,'Landscape Data'!D$2:D$607,2024)</f>
        <v>13</v>
      </c>
      <c r="D36" s="2" t="n">
        <f aca="false">COUNTIFS('Landscape Data'!G$2:G$607,$A36,'Landscape Data'!D$2:D$607,2025)</f>
        <v>28</v>
      </c>
      <c r="E36" s="2" t="n">
        <f aca="false">COUNTIFS('Landscape Data'!G$2:G$607,$A36,'Landscape Data'!D$2:D$607,2026)</f>
        <v>25</v>
      </c>
    </row>
    <row r="37" customFormat="false" ht="15" hidden="false" customHeight="false" outlineLevel="0" collapsed="false">
      <c r="A37" s="3" t="s">
        <v>49</v>
      </c>
      <c r="B37" s="2" t="n">
        <f aca="false">COUNTIFS('Landscape Data'!G$2:G$607,$A37,'Landscape Data'!D$2:D$607,2023)</f>
        <v>14</v>
      </c>
      <c r="C37" s="2" t="n">
        <f aca="false">COUNTIFS('Landscape Data'!G$2:G$607,$A37,'Landscape Data'!D$2:D$607,2024)</f>
        <v>9</v>
      </c>
      <c r="D37" s="2" t="n">
        <f aca="false">COUNTIFS('Landscape Data'!G$2:G$607,$A37,'Landscape Data'!D$2:D$607,2025)</f>
        <v>24</v>
      </c>
      <c r="E37" s="2" t="n">
        <f aca="false">COUNTIFS('Landscape Data'!G$2:G$607,$A37,'Landscape Data'!D$2:D$607,2026)</f>
        <v>25</v>
      </c>
    </row>
    <row r="38" customFormat="false" ht="15" hidden="false" customHeight="false" outlineLevel="0" collapsed="false">
      <c r="A38" s="3" t="s">
        <v>14</v>
      </c>
      <c r="B38" s="2" t="n">
        <f aca="false">COUNTIFS('Landscape Data'!G$2:G$607,$A38,'Landscape Data'!D$2:D$607,2023)</f>
        <v>9</v>
      </c>
      <c r="C38" s="2" t="n">
        <f aca="false">COUNTIFS('Landscape Data'!G$2:G$607,$A38,'Landscape Data'!D$2:D$607,2024)</f>
        <v>8</v>
      </c>
      <c r="D38" s="2" t="n">
        <f aca="false">COUNTIFS('Landscape Data'!G$2:G$607,$A38,'Landscape Data'!D$2:D$607,2025)</f>
        <v>18</v>
      </c>
      <c r="E38" s="2" t="n">
        <f aca="false">COUNTIFS('Landscape Data'!G$2:G$607,$A38,'Landscape Data'!D$2:D$607,2026)</f>
        <v>27</v>
      </c>
    </row>
    <row r="39" customFormat="false" ht="15" hidden="false" customHeight="false" outlineLevel="0" collapsed="false">
      <c r="A39" s="3" t="s">
        <v>23</v>
      </c>
      <c r="B39" s="2" t="n">
        <f aca="false">COUNTIFS('Landscape Data'!G$2:G$607,$A39,'Landscape Data'!D$2:D$607,2023)</f>
        <v>2</v>
      </c>
      <c r="C39" s="2" t="n">
        <f aca="false">COUNTIFS('Landscape Data'!G$2:G$607,$A39,'Landscape Data'!D$2:D$607,2024)</f>
        <v>10</v>
      </c>
      <c r="D39" s="2" t="n">
        <f aca="false">COUNTIFS('Landscape Data'!G$2:G$607,$A39,'Landscape Data'!D$2:D$607,2025)</f>
        <v>22</v>
      </c>
      <c r="E39" s="2" t="n">
        <f aca="false">COUNTIFS('Landscape Data'!G$2:G$607,$A39,'Landscape Data'!D$2:D$607,2026)</f>
        <v>23</v>
      </c>
    </row>
    <row r="40" customFormat="false" ht="15" hidden="false" customHeight="false" outlineLevel="0" collapsed="false">
      <c r="A40" s="3" t="s">
        <v>73</v>
      </c>
      <c r="B40" s="2" t="n">
        <f aca="false">COUNTIFS('Landscape Data'!G$2:G$607,$A40,'Landscape Data'!D$2:D$607,2023)</f>
        <v>3</v>
      </c>
      <c r="C40" s="2" t="n">
        <f aca="false">COUNTIFS('Landscape Data'!G$2:G$607,$A40,'Landscape Data'!D$2:D$607,2024)</f>
        <v>7</v>
      </c>
      <c r="D40" s="2" t="n">
        <f aca="false">COUNTIFS('Landscape Data'!G$2:G$607,$A40,'Landscape Data'!D$2:D$607,2025)</f>
        <v>15</v>
      </c>
      <c r="E40" s="2" t="n">
        <f aca="false">COUNTIFS('Landscape Data'!G$2:G$607,$A40,'Landscape Data'!D$2:D$607,2026)</f>
        <v>26</v>
      </c>
    </row>
    <row r="41" customFormat="false" ht="15" hidden="false" customHeight="false" outlineLevel="0" collapsed="false">
      <c r="A41" s="3" t="s">
        <v>107</v>
      </c>
      <c r="B41" s="2" t="n">
        <f aca="false">COUNTIFS('Landscape Data'!G$2:G$607,$A41,'Landscape Data'!D$2:D$607,2023)</f>
        <v>4</v>
      </c>
      <c r="C41" s="2" t="n">
        <f aca="false">COUNTIFS('Landscape Data'!G$2:G$607,$A41,'Landscape Data'!D$2:D$607,2024)</f>
        <v>8</v>
      </c>
      <c r="D41" s="2" t="n">
        <f aca="false">COUNTIFS('Landscape Data'!G$2:G$607,$A41,'Landscape Data'!D$2:D$607,2025)</f>
        <v>18</v>
      </c>
      <c r="E41" s="2" t="n">
        <f aca="false">COUNTIFS('Landscape Data'!G$2:G$607,$A41,'Landscape Data'!D$2:D$607,2026)</f>
        <v>17</v>
      </c>
    </row>
    <row r="42" customFormat="false" ht="15" hidden="false" customHeight="false" outlineLevel="0" collapsed="false">
      <c r="A42" s="3" t="s">
        <v>34</v>
      </c>
      <c r="B42" s="2" t="n">
        <f aca="false">COUNTIFS('Landscape Data'!G$2:G$607,$A42,'Landscape Data'!D$2:D$607,2023)</f>
        <v>5</v>
      </c>
      <c r="C42" s="2" t="n">
        <f aca="false">COUNTIFS('Landscape Data'!G$2:G$607,$A42,'Landscape Data'!D$2:D$607,2024)</f>
        <v>10</v>
      </c>
      <c r="D42" s="2" t="n">
        <f aca="false">COUNTIFS('Landscape Data'!G$2:G$607,$A42,'Landscape Data'!D$2:D$607,2025)</f>
        <v>19</v>
      </c>
      <c r="E42" s="2" t="n">
        <f aca="false">COUNTIFS('Landscape Data'!G$2:G$607,$A42,'Landscape Data'!D$2:D$607,2026)</f>
        <v>11</v>
      </c>
    </row>
    <row r="43" customFormat="false" ht="15" hidden="false" customHeight="false" outlineLevel="0" collapsed="false">
      <c r="A43" s="3" t="s">
        <v>19</v>
      </c>
      <c r="B43" s="2" t="n">
        <f aca="false">COUNTIFS('Landscape Data'!G$2:G$607,$A43,'Landscape Data'!D$2:D$607,2023)</f>
        <v>0</v>
      </c>
      <c r="C43" s="2" t="n">
        <f aca="false">COUNTIFS('Landscape Data'!G$2:G$607,$A43,'Landscape Data'!D$2:D$607,2024)</f>
        <v>0</v>
      </c>
      <c r="D43" s="2" t="n">
        <f aca="false">COUNTIFS('Landscape Data'!G$2:G$607,$A43,'Landscape Data'!D$2:D$607,2025)</f>
        <v>4</v>
      </c>
      <c r="E43" s="2" t="n">
        <f aca="false">COUNTIFS('Landscape Data'!G$2:G$607,$A43,'Landscape Data'!D$2:D$607,2026)</f>
        <v>3</v>
      </c>
    </row>
    <row r="46" customFormat="false" ht="15" hidden="false" customHeight="false" outlineLevel="0" collapsed="false">
      <c r="A46" s="1" t="s">
        <v>1588</v>
      </c>
      <c r="B46" s="1" t="s">
        <v>52</v>
      </c>
      <c r="C46" s="1" t="s">
        <v>37</v>
      </c>
      <c r="D46" s="1" t="s">
        <v>27</v>
      </c>
      <c r="E46" s="1" t="s">
        <v>49</v>
      </c>
      <c r="F46" s="1" t="s">
        <v>14</v>
      </c>
      <c r="G46" s="1" t="s">
        <v>23</v>
      </c>
      <c r="H46" s="1" t="s">
        <v>73</v>
      </c>
      <c r="I46" s="1" t="s">
        <v>107</v>
      </c>
      <c r="J46" s="1" t="s">
        <v>34</v>
      </c>
      <c r="K46" s="1" t="s">
        <v>19</v>
      </c>
    </row>
    <row r="47" customFormat="false" ht="15" hidden="false" customHeight="false" outlineLevel="0" collapsed="false">
      <c r="A47" s="3" t="s">
        <v>26</v>
      </c>
      <c r="B47" s="2" t="n">
        <f aca="false">COUNTIFS('Landscape Data'!F$2:F$607,$A47,'Landscape Data'!G$2:G$607,B$46)</f>
        <v>41</v>
      </c>
      <c r="C47" s="2" t="n">
        <f aca="false">COUNTIFS('Landscape Data'!F$2:F$607,$A47,'Landscape Data'!G$2:G$607,C$46)</f>
        <v>17</v>
      </c>
      <c r="D47" s="2" t="n">
        <f aca="false">COUNTIFS('Landscape Data'!F$2:F$607,$A47,'Landscape Data'!G$2:G$607,D$46)</f>
        <v>31</v>
      </c>
      <c r="E47" s="2" t="n">
        <f aca="false">COUNTIFS('Landscape Data'!F$2:F$607,$A47,'Landscape Data'!G$2:G$607,E$46)</f>
        <v>19</v>
      </c>
      <c r="F47" s="2" t="n">
        <f aca="false">COUNTIFS('Landscape Data'!F$2:F$607,$A47,'Landscape Data'!G$2:G$607,F$46)</f>
        <v>12</v>
      </c>
      <c r="G47" s="2" t="n">
        <f aca="false">COUNTIFS('Landscape Data'!F$2:F$607,$A47,'Landscape Data'!G$2:G$607,G$46)</f>
        <v>8</v>
      </c>
      <c r="H47" s="2" t="n">
        <f aca="false">COUNTIFS('Landscape Data'!F$2:F$607,$A47,'Landscape Data'!G$2:G$607,H$46)</f>
        <v>4</v>
      </c>
      <c r="I47" s="2" t="n">
        <f aca="false">COUNTIFS('Landscape Data'!F$2:F$607,$A47,'Landscape Data'!G$2:G$607,I$46)</f>
        <v>14</v>
      </c>
      <c r="J47" s="2" t="n">
        <f aca="false">COUNTIFS('Landscape Data'!F$2:F$607,$A47,'Landscape Data'!G$2:G$607,J$46)</f>
        <v>5</v>
      </c>
      <c r="K47" s="2" t="n">
        <f aca="false">COUNTIFS('Landscape Data'!F$2:F$607,$A47,'Landscape Data'!G$2:G$607,K$46)</f>
        <v>3</v>
      </c>
    </row>
    <row r="48" customFormat="false" ht="15" hidden="false" customHeight="false" outlineLevel="0" collapsed="false">
      <c r="A48" s="3" t="s">
        <v>64</v>
      </c>
      <c r="B48" s="2" t="n">
        <f aca="false">COUNTIFS('Landscape Data'!F$2:F$607,$A48,'Landscape Data'!G$2:G$607,B$46)</f>
        <v>32</v>
      </c>
      <c r="C48" s="2" t="n">
        <f aca="false">COUNTIFS('Landscape Data'!F$2:F$607,$A48,'Landscape Data'!G$2:G$607,C$46)</f>
        <v>14</v>
      </c>
      <c r="D48" s="2" t="n">
        <f aca="false">COUNTIFS('Landscape Data'!F$2:F$607,$A48,'Landscape Data'!G$2:G$607,D$46)</f>
        <v>25</v>
      </c>
      <c r="E48" s="2" t="n">
        <f aca="false">COUNTIFS('Landscape Data'!F$2:F$607,$A48,'Landscape Data'!G$2:G$607,E$46)</f>
        <v>10</v>
      </c>
      <c r="F48" s="2" t="n">
        <f aca="false">COUNTIFS('Landscape Data'!F$2:F$607,$A48,'Landscape Data'!G$2:G$607,F$46)</f>
        <v>17</v>
      </c>
      <c r="G48" s="2" t="n">
        <f aca="false">COUNTIFS('Landscape Data'!F$2:F$607,$A48,'Landscape Data'!G$2:G$607,G$46)</f>
        <v>5</v>
      </c>
      <c r="H48" s="2" t="n">
        <f aca="false">COUNTIFS('Landscape Data'!F$2:F$607,$A48,'Landscape Data'!G$2:G$607,H$46)</f>
        <v>13</v>
      </c>
      <c r="I48" s="2" t="n">
        <f aca="false">COUNTIFS('Landscape Data'!F$2:F$607,$A48,'Landscape Data'!G$2:G$607,I$46)</f>
        <v>14</v>
      </c>
      <c r="J48" s="2" t="n">
        <f aca="false">COUNTIFS('Landscape Data'!F$2:F$607,$A48,'Landscape Data'!G$2:G$607,J$46)</f>
        <v>3</v>
      </c>
      <c r="K48" s="2" t="n">
        <f aca="false">COUNTIFS('Landscape Data'!F$2:F$607,$A48,'Landscape Data'!G$2:G$607,K$46)</f>
        <v>0</v>
      </c>
    </row>
    <row r="49" customFormat="false" ht="15" hidden="false" customHeight="false" outlineLevel="0" collapsed="false">
      <c r="A49" s="3" t="s">
        <v>13</v>
      </c>
      <c r="B49" s="2" t="n">
        <f aca="false">COUNTIFS('Landscape Data'!F$2:F$607,$A49,'Landscape Data'!G$2:G$607,B$46)</f>
        <v>4</v>
      </c>
      <c r="C49" s="2" t="n">
        <f aca="false">COUNTIFS('Landscape Data'!F$2:F$607,$A49,'Landscape Data'!G$2:G$607,C$46)</f>
        <v>20</v>
      </c>
      <c r="D49" s="2" t="n">
        <f aca="false">COUNTIFS('Landscape Data'!F$2:F$607,$A49,'Landscape Data'!G$2:G$607,D$46)</f>
        <v>5</v>
      </c>
      <c r="E49" s="2" t="n">
        <f aca="false">COUNTIFS('Landscape Data'!F$2:F$607,$A49,'Landscape Data'!G$2:G$607,E$46)</f>
        <v>3</v>
      </c>
      <c r="F49" s="2" t="n">
        <f aca="false">COUNTIFS('Landscape Data'!F$2:F$607,$A49,'Landscape Data'!G$2:G$607,F$46)</f>
        <v>16</v>
      </c>
      <c r="G49" s="2" t="n">
        <f aca="false">COUNTIFS('Landscape Data'!F$2:F$607,$A49,'Landscape Data'!G$2:G$607,G$46)</f>
        <v>20</v>
      </c>
      <c r="H49" s="2" t="n">
        <f aca="false">COUNTIFS('Landscape Data'!F$2:F$607,$A49,'Landscape Data'!G$2:G$607,H$46)</f>
        <v>24</v>
      </c>
      <c r="I49" s="2" t="n">
        <f aca="false">COUNTIFS('Landscape Data'!F$2:F$607,$A49,'Landscape Data'!G$2:G$607,I$46)</f>
        <v>7</v>
      </c>
      <c r="J49" s="2" t="n">
        <f aca="false">COUNTIFS('Landscape Data'!F$2:F$607,$A49,'Landscape Data'!G$2:G$607,J$46)</f>
        <v>3</v>
      </c>
      <c r="K49" s="2" t="n">
        <f aca="false">COUNTIFS('Landscape Data'!F$2:F$607,$A49,'Landscape Data'!G$2:G$607,K$46)</f>
        <v>0</v>
      </c>
    </row>
    <row r="50" customFormat="false" ht="15" hidden="false" customHeight="false" outlineLevel="0" collapsed="false">
      <c r="A50" s="3" t="s">
        <v>82</v>
      </c>
      <c r="B50" s="2" t="n">
        <f aca="false">COUNTIFS('Landscape Data'!F$2:F$607,$A50,'Landscape Data'!G$2:G$607,B$46)</f>
        <v>7</v>
      </c>
      <c r="C50" s="2" t="n">
        <f aca="false">COUNTIFS('Landscape Data'!F$2:F$607,$A50,'Landscape Data'!G$2:G$607,C$46)</f>
        <v>10</v>
      </c>
      <c r="D50" s="2" t="n">
        <f aca="false">COUNTIFS('Landscape Data'!F$2:F$607,$A50,'Landscape Data'!G$2:G$607,D$46)</f>
        <v>2</v>
      </c>
      <c r="E50" s="2" t="n">
        <f aca="false">COUNTIFS('Landscape Data'!F$2:F$607,$A50,'Landscape Data'!G$2:G$607,E$46)</f>
        <v>4</v>
      </c>
      <c r="F50" s="2" t="n">
        <f aca="false">COUNTIFS('Landscape Data'!F$2:F$607,$A50,'Landscape Data'!G$2:G$607,F$46)</f>
        <v>5</v>
      </c>
      <c r="G50" s="2" t="n">
        <f aca="false">COUNTIFS('Landscape Data'!F$2:F$607,$A50,'Landscape Data'!G$2:G$607,G$46)</f>
        <v>11</v>
      </c>
      <c r="H50" s="2" t="n">
        <f aca="false">COUNTIFS('Landscape Data'!F$2:F$607,$A50,'Landscape Data'!G$2:G$607,H$46)</f>
        <v>0</v>
      </c>
      <c r="I50" s="2" t="n">
        <f aca="false">COUNTIFS('Landscape Data'!F$2:F$607,$A50,'Landscape Data'!G$2:G$607,I$46)</f>
        <v>2</v>
      </c>
      <c r="J50" s="2" t="n">
        <f aca="false">COUNTIFS('Landscape Data'!F$2:F$607,$A50,'Landscape Data'!G$2:G$607,J$46)</f>
        <v>8</v>
      </c>
      <c r="K50" s="2" t="n">
        <f aca="false">COUNTIFS('Landscape Data'!F$2:F$607,$A50,'Landscape Data'!G$2:G$607,K$46)</f>
        <v>1</v>
      </c>
    </row>
    <row r="51" customFormat="false" ht="15" hidden="false" customHeight="false" outlineLevel="0" collapsed="false">
      <c r="A51" s="3" t="s">
        <v>146</v>
      </c>
      <c r="B51" s="2" t="n">
        <f aca="false">COUNTIFS('Landscape Data'!F$2:F$607,$A51,'Landscape Data'!G$2:G$607,B$46)</f>
        <v>5</v>
      </c>
      <c r="C51" s="2" t="n">
        <f aca="false">COUNTIFS('Landscape Data'!F$2:F$607,$A51,'Landscape Data'!G$2:G$607,C$46)</f>
        <v>0</v>
      </c>
      <c r="D51" s="2" t="n">
        <f aca="false">COUNTIFS('Landscape Data'!F$2:F$607,$A51,'Landscape Data'!G$2:G$607,D$46)</f>
        <v>5</v>
      </c>
      <c r="E51" s="2" t="n">
        <f aca="false">COUNTIFS('Landscape Data'!F$2:F$607,$A51,'Landscape Data'!G$2:G$607,E$46)</f>
        <v>5</v>
      </c>
      <c r="F51" s="2" t="n">
        <f aca="false">COUNTIFS('Landscape Data'!F$2:F$607,$A51,'Landscape Data'!G$2:G$607,F$46)</f>
        <v>3</v>
      </c>
      <c r="G51" s="2" t="n">
        <f aca="false">COUNTIFS('Landscape Data'!F$2:F$607,$A51,'Landscape Data'!G$2:G$607,G$46)</f>
        <v>5</v>
      </c>
      <c r="H51" s="2" t="n">
        <f aca="false">COUNTIFS('Landscape Data'!F$2:F$607,$A51,'Landscape Data'!G$2:G$607,H$46)</f>
        <v>4</v>
      </c>
      <c r="I51" s="2" t="n">
        <f aca="false">COUNTIFS('Landscape Data'!F$2:F$607,$A51,'Landscape Data'!G$2:G$607,I$46)</f>
        <v>2</v>
      </c>
      <c r="J51" s="2" t="n">
        <f aca="false">COUNTIFS('Landscape Data'!F$2:F$607,$A51,'Landscape Data'!G$2:G$607,J$46)</f>
        <v>9</v>
      </c>
      <c r="K51" s="2" t="n">
        <f aca="false">COUNTIFS('Landscape Data'!F$2:F$607,$A51,'Landscape Data'!G$2:G$607,K$46)</f>
        <v>0</v>
      </c>
    </row>
    <row r="52" customFormat="false" ht="15" hidden="false" customHeight="false" outlineLevel="0" collapsed="false">
      <c r="A52" s="3" t="s">
        <v>55</v>
      </c>
      <c r="B52" s="2" t="n">
        <f aca="false">COUNTIFS('Landscape Data'!F$2:F$607,$A52,'Landscape Data'!G$2:G$607,B$46)</f>
        <v>13</v>
      </c>
      <c r="C52" s="2" t="n">
        <f aca="false">COUNTIFS('Landscape Data'!F$2:F$607,$A52,'Landscape Data'!G$2:G$607,C$46)</f>
        <v>3</v>
      </c>
      <c r="D52" s="2" t="n">
        <f aca="false">COUNTIFS('Landscape Data'!F$2:F$607,$A52,'Landscape Data'!G$2:G$607,D$46)</f>
        <v>3</v>
      </c>
      <c r="E52" s="2" t="n">
        <f aca="false">COUNTIFS('Landscape Data'!F$2:F$607,$A52,'Landscape Data'!G$2:G$607,E$46)</f>
        <v>1</v>
      </c>
      <c r="F52" s="2" t="n">
        <f aca="false">COUNTIFS('Landscape Data'!F$2:F$607,$A52,'Landscape Data'!G$2:G$607,F$46)</f>
        <v>3</v>
      </c>
      <c r="G52" s="2" t="n">
        <f aca="false">COUNTIFS('Landscape Data'!F$2:F$607,$A52,'Landscape Data'!G$2:G$607,G$46)</f>
        <v>4</v>
      </c>
      <c r="H52" s="2" t="n">
        <f aca="false">COUNTIFS('Landscape Data'!F$2:F$607,$A52,'Landscape Data'!G$2:G$607,H$46)</f>
        <v>1</v>
      </c>
      <c r="I52" s="2" t="n">
        <f aca="false">COUNTIFS('Landscape Data'!F$2:F$607,$A52,'Landscape Data'!G$2:G$607,I$46)</f>
        <v>1</v>
      </c>
      <c r="J52" s="2" t="n">
        <f aca="false">COUNTIFS('Landscape Data'!F$2:F$607,$A52,'Landscape Data'!G$2:G$607,J$46)</f>
        <v>1</v>
      </c>
      <c r="K52" s="2" t="n">
        <f aca="false">COUNTIFS('Landscape Data'!F$2:F$607,$A52,'Landscape Data'!G$2:G$607,K$46)</f>
        <v>1</v>
      </c>
    </row>
    <row r="55" customFormat="false" ht="15" hidden="false" customHeight="false" outlineLevel="0" collapsed="false">
      <c r="A55" s="1" t="s">
        <v>1589</v>
      </c>
      <c r="B55" s="1" t="s">
        <v>1583</v>
      </c>
      <c r="C55" s="1" t="s">
        <v>1584</v>
      </c>
      <c r="D55" s="1" t="s">
        <v>1585</v>
      </c>
      <c r="E55" s="1" t="s">
        <v>1586</v>
      </c>
    </row>
    <row r="56" customFormat="false" ht="15" hidden="false" customHeight="false" outlineLevel="0" collapsed="false">
      <c r="A56" s="3" t="s">
        <v>26</v>
      </c>
      <c r="B56" s="2" t="n">
        <f aca="false">COUNTIFS('Landscape Data'!F$2:F$607,$A56,'Landscape Data'!D$2:D$607,2023)</f>
        <v>13</v>
      </c>
      <c r="C56" s="2" t="n">
        <f aca="false">COUNTIFS('Landscape Data'!F$2:F$607,$A56,'Landscape Data'!D$2:D$607,2024)</f>
        <v>22</v>
      </c>
      <c r="D56" s="2" t="n">
        <f aca="false">COUNTIFS('Landscape Data'!F$2:F$607,$A56,'Landscape Data'!D$2:D$607,2025)</f>
        <v>53</v>
      </c>
      <c r="E56" s="2" t="n">
        <f aca="false">COUNTIFS('Landscape Data'!F$2:F$607,$A56,'Landscape Data'!D$2:D$607,2026)</f>
        <v>66</v>
      </c>
    </row>
    <row r="57" customFormat="false" ht="15" hidden="false" customHeight="false" outlineLevel="0" collapsed="false">
      <c r="A57" s="3" t="s">
        <v>64</v>
      </c>
      <c r="B57" s="2" t="n">
        <f aca="false">COUNTIFS('Landscape Data'!F$2:F$607,$A57,'Landscape Data'!D$2:D$607,2023)</f>
        <v>16</v>
      </c>
      <c r="C57" s="2" t="n">
        <f aca="false">COUNTIFS('Landscape Data'!F$2:F$607,$A57,'Landscape Data'!D$2:D$607,2024)</f>
        <v>23</v>
      </c>
      <c r="D57" s="2" t="n">
        <f aca="false">COUNTIFS('Landscape Data'!F$2:F$607,$A57,'Landscape Data'!D$2:D$607,2025)</f>
        <v>48</v>
      </c>
      <c r="E57" s="2" t="n">
        <f aca="false">COUNTIFS('Landscape Data'!F$2:F$607,$A57,'Landscape Data'!D$2:D$607,2026)</f>
        <v>46</v>
      </c>
    </row>
    <row r="58" customFormat="false" ht="15" hidden="false" customHeight="false" outlineLevel="0" collapsed="false">
      <c r="A58" s="3" t="s">
        <v>13</v>
      </c>
      <c r="B58" s="2" t="n">
        <f aca="false">COUNTIFS('Landscape Data'!F$2:F$607,$A58,'Landscape Data'!D$2:D$607,2023)</f>
        <v>3</v>
      </c>
      <c r="C58" s="2" t="n">
        <f aca="false">COUNTIFS('Landscape Data'!F$2:F$607,$A58,'Landscape Data'!D$2:D$607,2024)</f>
        <v>3</v>
      </c>
      <c r="D58" s="2" t="n">
        <f aca="false">COUNTIFS('Landscape Data'!F$2:F$607,$A58,'Landscape Data'!D$2:D$607,2025)</f>
        <v>38</v>
      </c>
      <c r="E58" s="2" t="n">
        <f aca="false">COUNTIFS('Landscape Data'!F$2:F$607,$A58,'Landscape Data'!D$2:D$607,2026)</f>
        <v>58</v>
      </c>
    </row>
    <row r="59" customFormat="false" ht="15" hidden="false" customHeight="false" outlineLevel="0" collapsed="false">
      <c r="A59" s="3" t="s">
        <v>82</v>
      </c>
      <c r="B59" s="2" t="n">
        <f aca="false">COUNTIFS('Landscape Data'!F$2:F$607,$A59,'Landscape Data'!D$2:D$607,2023)</f>
        <v>1</v>
      </c>
      <c r="C59" s="2" t="n">
        <f aca="false">COUNTIFS('Landscape Data'!F$2:F$607,$A59,'Landscape Data'!D$2:D$607,2024)</f>
        <v>5</v>
      </c>
      <c r="D59" s="2" t="n">
        <f aca="false">COUNTIFS('Landscape Data'!F$2:F$607,$A59,'Landscape Data'!D$2:D$607,2025)</f>
        <v>23</v>
      </c>
      <c r="E59" s="2" t="n">
        <f aca="false">COUNTIFS('Landscape Data'!F$2:F$607,$A59,'Landscape Data'!D$2:D$607,2026)</f>
        <v>21</v>
      </c>
    </row>
    <row r="60" customFormat="false" ht="15" hidden="false" customHeight="false" outlineLevel="0" collapsed="false">
      <c r="A60" s="3" t="s">
        <v>146</v>
      </c>
      <c r="B60" s="2" t="n">
        <f aca="false">COUNTIFS('Landscape Data'!F$2:F$607,$A60,'Landscape Data'!D$2:D$607,2023)</f>
        <v>6</v>
      </c>
      <c r="C60" s="2" t="n">
        <f aca="false">COUNTIFS('Landscape Data'!F$2:F$607,$A60,'Landscape Data'!D$2:D$607,2024)</f>
        <v>7</v>
      </c>
      <c r="D60" s="2" t="n">
        <f aca="false">COUNTIFS('Landscape Data'!F$2:F$607,$A60,'Landscape Data'!D$2:D$607,2025)</f>
        <v>17</v>
      </c>
      <c r="E60" s="2" t="n">
        <f aca="false">COUNTIFS('Landscape Data'!F$2:F$607,$A60,'Landscape Data'!D$2:D$607,2026)</f>
        <v>8</v>
      </c>
    </row>
    <row r="61" customFormat="false" ht="15" hidden="false" customHeight="false" outlineLevel="0" collapsed="false">
      <c r="A61" s="3" t="s">
        <v>55</v>
      </c>
      <c r="B61" s="2" t="n">
        <f aca="false">COUNTIFS('Landscape Data'!F$2:F$607,$A61,'Landscape Data'!D$2:D$607,2023)</f>
        <v>3</v>
      </c>
      <c r="C61" s="2" t="n">
        <f aca="false">COUNTIFS('Landscape Data'!F$2:F$607,$A61,'Landscape Data'!D$2:D$607,2024)</f>
        <v>8</v>
      </c>
      <c r="D61" s="2" t="n">
        <f aca="false">COUNTIFS('Landscape Data'!F$2:F$607,$A61,'Landscape Data'!D$2:D$607,2025)</f>
        <v>8</v>
      </c>
      <c r="E61" s="2" t="n">
        <f aca="false">COUNTIFS('Landscape Data'!F$2:F$607,$A61,'Landscape Data'!D$2:D$607,2026)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0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22"/>
    <col collapsed="false" customWidth="true" hidden="false" outlineLevel="0" max="7" min="7" style="0" width="32"/>
    <col collapsed="false" customWidth="true" hidden="false" outlineLevel="0" max="8" min="8" style="0" width="30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1590</v>
      </c>
      <c r="B2" s="2" t="s">
        <v>1591</v>
      </c>
      <c r="C2" s="2" t="s">
        <v>11</v>
      </c>
      <c r="D2" s="2" t="n">
        <v>2026</v>
      </c>
      <c r="E2" s="2" t="s">
        <v>12</v>
      </c>
      <c r="F2" s="2" t="s">
        <v>64</v>
      </c>
      <c r="G2" s="2" t="s">
        <v>1592</v>
      </c>
      <c r="H2" s="2" t="s">
        <v>65</v>
      </c>
      <c r="I2" s="2" t="n">
        <v>0</v>
      </c>
    </row>
    <row r="3" customFormat="false" ht="15" hidden="false" customHeight="false" outlineLevel="0" collapsed="false">
      <c r="A3" s="2" t="s">
        <v>1593</v>
      </c>
      <c r="B3" s="2" t="s">
        <v>1594</v>
      </c>
      <c r="C3" s="2" t="s">
        <v>11</v>
      </c>
      <c r="D3" s="2" t="n">
        <v>2026</v>
      </c>
      <c r="E3" s="2" t="s">
        <v>12</v>
      </c>
      <c r="F3" s="2" t="s">
        <v>64</v>
      </c>
      <c r="G3" s="2" t="s">
        <v>1592</v>
      </c>
      <c r="H3" s="2" t="s">
        <v>65</v>
      </c>
      <c r="I3" s="2" t="n">
        <v>0</v>
      </c>
    </row>
    <row r="4" customFormat="false" ht="15" hidden="false" customHeight="false" outlineLevel="0" collapsed="false">
      <c r="A4" s="2" t="s">
        <v>1595</v>
      </c>
      <c r="B4" s="2" t="s">
        <v>1596</v>
      </c>
      <c r="C4" s="2" t="s">
        <v>11</v>
      </c>
      <c r="D4" s="2" t="n">
        <v>2026</v>
      </c>
      <c r="E4" s="2" t="s">
        <v>12</v>
      </c>
      <c r="F4" s="2" t="s">
        <v>13</v>
      </c>
      <c r="G4" s="2" t="s">
        <v>1592</v>
      </c>
      <c r="H4" s="2" t="s">
        <v>15</v>
      </c>
      <c r="I4" s="2" t="n">
        <v>0</v>
      </c>
    </row>
    <row r="5" customFormat="false" ht="15" hidden="false" customHeight="false" outlineLevel="0" collapsed="false">
      <c r="A5" s="2" t="s">
        <v>1597</v>
      </c>
      <c r="B5" s="2" t="s">
        <v>1598</v>
      </c>
      <c r="C5" s="2" t="s">
        <v>31</v>
      </c>
      <c r="D5" s="2" t="n">
        <v>2026</v>
      </c>
      <c r="E5" s="2" t="s">
        <v>12</v>
      </c>
      <c r="F5" s="2" t="s">
        <v>26</v>
      </c>
      <c r="G5" s="2" t="s">
        <v>1592</v>
      </c>
      <c r="H5" s="2" t="s">
        <v>28</v>
      </c>
      <c r="I5" s="2" t="n">
        <v>0</v>
      </c>
    </row>
    <row r="6" customFormat="false" ht="15" hidden="false" customHeight="false" outlineLevel="0" collapsed="false">
      <c r="A6" s="2" t="s">
        <v>1599</v>
      </c>
      <c r="B6" s="2" t="s">
        <v>1600</v>
      </c>
      <c r="C6" s="2" t="s">
        <v>31</v>
      </c>
      <c r="D6" s="2" t="n">
        <v>2026</v>
      </c>
      <c r="E6" s="2" t="s">
        <v>12</v>
      </c>
      <c r="F6" s="2" t="s">
        <v>64</v>
      </c>
      <c r="G6" s="2" t="s">
        <v>1592</v>
      </c>
      <c r="H6" s="2" t="s">
        <v>65</v>
      </c>
      <c r="I6" s="2" t="n">
        <v>0</v>
      </c>
    </row>
    <row r="7" customFormat="false" ht="15" hidden="false" customHeight="false" outlineLevel="0" collapsed="false">
      <c r="A7" s="2" t="s">
        <v>1601</v>
      </c>
      <c r="B7" s="2" t="s">
        <v>1602</v>
      </c>
      <c r="C7" s="2" t="s">
        <v>59</v>
      </c>
      <c r="D7" s="2" t="n">
        <v>2026</v>
      </c>
      <c r="E7" s="2" t="s">
        <v>60</v>
      </c>
      <c r="F7" s="2" t="s">
        <v>314</v>
      </c>
      <c r="G7" s="2" t="s">
        <v>1592</v>
      </c>
      <c r="H7" s="2" t="s">
        <v>700</v>
      </c>
      <c r="I7" s="2" t="n">
        <v>0</v>
      </c>
    </row>
    <row r="8" customFormat="false" ht="15" hidden="false" customHeight="false" outlineLevel="0" collapsed="false">
      <c r="A8" s="2" t="s">
        <v>1603</v>
      </c>
      <c r="B8" s="2" t="s">
        <v>1604</v>
      </c>
      <c r="C8" s="2" t="s">
        <v>79</v>
      </c>
      <c r="D8" s="2" t="n">
        <v>2026</v>
      </c>
      <c r="E8" s="2" t="s">
        <v>12</v>
      </c>
      <c r="F8" s="2" t="s">
        <v>1605</v>
      </c>
      <c r="G8" s="2" t="s">
        <v>1592</v>
      </c>
      <c r="H8" s="2" t="s">
        <v>1606</v>
      </c>
      <c r="I8" s="2" t="n">
        <v>0</v>
      </c>
    </row>
    <row r="9" customFormat="false" ht="15" hidden="false" customHeight="false" outlineLevel="0" collapsed="false">
      <c r="A9" s="2" t="s">
        <v>1607</v>
      </c>
      <c r="B9" s="2" t="s">
        <v>1608</v>
      </c>
      <c r="C9" s="2" t="s">
        <v>1609</v>
      </c>
      <c r="D9" s="2" t="n">
        <v>2026</v>
      </c>
      <c r="E9" s="2" t="s">
        <v>46</v>
      </c>
      <c r="F9" s="2" t="s">
        <v>26</v>
      </c>
      <c r="G9" s="2" t="s">
        <v>1592</v>
      </c>
      <c r="H9" s="2" t="s">
        <v>28</v>
      </c>
      <c r="I9" s="2" t="n">
        <v>0</v>
      </c>
    </row>
    <row r="10" customFormat="false" ht="15" hidden="false" customHeight="false" outlineLevel="0" collapsed="false">
      <c r="A10" s="2" t="s">
        <v>1610</v>
      </c>
      <c r="B10" s="2" t="s">
        <v>1611</v>
      </c>
      <c r="C10" s="2" t="s">
        <v>96</v>
      </c>
      <c r="D10" s="2" t="n">
        <v>2026</v>
      </c>
      <c r="E10" s="2" t="s">
        <v>12</v>
      </c>
      <c r="F10" s="2" t="s">
        <v>64</v>
      </c>
      <c r="G10" s="2" t="s">
        <v>1592</v>
      </c>
      <c r="H10" s="2" t="s">
        <v>65</v>
      </c>
      <c r="I10" s="2" t="n">
        <v>0</v>
      </c>
    </row>
    <row r="11" customFormat="false" ht="15" hidden="false" customHeight="false" outlineLevel="0" collapsed="false">
      <c r="A11" s="2" t="s">
        <v>1612</v>
      </c>
      <c r="B11" s="2" t="s">
        <v>1613</v>
      </c>
      <c r="C11" s="2" t="s">
        <v>96</v>
      </c>
      <c r="D11" s="2" t="n">
        <v>2026</v>
      </c>
      <c r="E11" s="2" t="s">
        <v>12</v>
      </c>
      <c r="F11" s="2" t="s">
        <v>64</v>
      </c>
      <c r="G11" s="2" t="s">
        <v>1592</v>
      </c>
      <c r="H11" s="2" t="s">
        <v>65</v>
      </c>
      <c r="I11" s="2" t="n">
        <v>0</v>
      </c>
    </row>
    <row r="12" customFormat="false" ht="15" hidden="false" customHeight="false" outlineLevel="0" collapsed="false">
      <c r="A12" s="2" t="s">
        <v>1614</v>
      </c>
      <c r="B12" s="2" t="s">
        <v>1615</v>
      </c>
      <c r="C12" s="2" t="s">
        <v>96</v>
      </c>
      <c r="D12" s="2" t="n">
        <v>2026</v>
      </c>
      <c r="E12" s="2" t="s">
        <v>12</v>
      </c>
      <c r="F12" s="2" t="s">
        <v>155</v>
      </c>
      <c r="G12" s="2" t="s">
        <v>1592</v>
      </c>
      <c r="H12" s="2" t="s">
        <v>308</v>
      </c>
      <c r="I12" s="2" t="n">
        <v>0</v>
      </c>
    </row>
    <row r="13" customFormat="false" ht="15" hidden="false" customHeight="false" outlineLevel="0" collapsed="false">
      <c r="A13" s="2" t="s">
        <v>1616</v>
      </c>
      <c r="B13" s="2" t="s">
        <v>1617</v>
      </c>
      <c r="C13" s="2" t="s">
        <v>96</v>
      </c>
      <c r="D13" s="2" t="n">
        <v>2026</v>
      </c>
      <c r="E13" s="2" t="s">
        <v>12</v>
      </c>
      <c r="F13" s="2" t="s">
        <v>82</v>
      </c>
      <c r="G13" s="2" t="s">
        <v>1592</v>
      </c>
      <c r="H13" s="2" t="s">
        <v>83</v>
      </c>
      <c r="I13" s="2" t="n">
        <v>0</v>
      </c>
    </row>
    <row r="14" customFormat="false" ht="15" hidden="false" customHeight="false" outlineLevel="0" collapsed="false">
      <c r="A14" s="2" t="s">
        <v>1618</v>
      </c>
      <c r="B14" s="2" t="s">
        <v>1619</v>
      </c>
      <c r="C14" s="2" t="s">
        <v>96</v>
      </c>
      <c r="D14" s="2" t="n">
        <v>2026</v>
      </c>
      <c r="E14" s="2" t="s">
        <v>12</v>
      </c>
      <c r="F14" s="2" t="s">
        <v>55</v>
      </c>
      <c r="G14" s="2" t="s">
        <v>1592</v>
      </c>
      <c r="H14" s="2" t="s">
        <v>56</v>
      </c>
      <c r="I14" s="2" t="n">
        <v>0</v>
      </c>
    </row>
    <row r="15" customFormat="false" ht="15" hidden="false" customHeight="false" outlineLevel="0" collapsed="false">
      <c r="A15" s="2" t="s">
        <v>1620</v>
      </c>
      <c r="B15" s="2" t="s">
        <v>1621</v>
      </c>
      <c r="C15" s="2" t="s">
        <v>96</v>
      </c>
      <c r="D15" s="2" t="n">
        <v>2026</v>
      </c>
      <c r="E15" s="2" t="s">
        <v>12</v>
      </c>
      <c r="F15" s="2" t="s">
        <v>146</v>
      </c>
      <c r="G15" s="2" t="s">
        <v>1592</v>
      </c>
      <c r="H15" s="2" t="s">
        <v>147</v>
      </c>
      <c r="I15" s="2" t="n">
        <v>0</v>
      </c>
    </row>
    <row r="16" customFormat="false" ht="15" hidden="false" customHeight="false" outlineLevel="0" collapsed="false">
      <c r="A16" s="2" t="s">
        <v>1622</v>
      </c>
      <c r="B16" s="2" t="s">
        <v>1623</v>
      </c>
      <c r="C16" s="2" t="s">
        <v>96</v>
      </c>
      <c r="D16" s="2" t="n">
        <v>2026</v>
      </c>
      <c r="E16" s="2" t="s">
        <v>12</v>
      </c>
      <c r="F16" s="2" t="s">
        <v>13</v>
      </c>
      <c r="G16" s="2" t="s">
        <v>1592</v>
      </c>
      <c r="H16" s="2" t="s">
        <v>15</v>
      </c>
      <c r="I16" s="2" t="n">
        <v>0</v>
      </c>
    </row>
    <row r="17" customFormat="false" ht="15" hidden="false" customHeight="false" outlineLevel="0" collapsed="false">
      <c r="A17" s="2" t="s">
        <v>1624</v>
      </c>
      <c r="B17" s="2" t="s">
        <v>1625</v>
      </c>
      <c r="C17" s="2" t="s">
        <v>112</v>
      </c>
      <c r="D17" s="2" t="n">
        <v>2026</v>
      </c>
      <c r="E17" s="2" t="s">
        <v>12</v>
      </c>
      <c r="F17" s="2" t="s">
        <v>146</v>
      </c>
      <c r="G17" s="2" t="s">
        <v>1592</v>
      </c>
      <c r="H17" s="2" t="s">
        <v>147</v>
      </c>
      <c r="I17" s="2" t="n">
        <v>0</v>
      </c>
    </row>
    <row r="18" customFormat="false" ht="15" hidden="false" customHeight="false" outlineLevel="0" collapsed="false">
      <c r="A18" s="2" t="s">
        <v>1626</v>
      </c>
      <c r="B18" s="2" t="s">
        <v>1627</v>
      </c>
      <c r="C18" s="2" t="s">
        <v>112</v>
      </c>
      <c r="D18" s="2" t="n">
        <v>2026</v>
      </c>
      <c r="E18" s="2" t="s">
        <v>12</v>
      </c>
      <c r="F18" s="2" t="s">
        <v>64</v>
      </c>
      <c r="G18" s="2" t="s">
        <v>1592</v>
      </c>
      <c r="H18" s="2" t="s">
        <v>65</v>
      </c>
      <c r="I18" s="2" t="n">
        <v>0</v>
      </c>
    </row>
    <row r="19" customFormat="false" ht="15" hidden="false" customHeight="false" outlineLevel="0" collapsed="false">
      <c r="A19" s="2" t="s">
        <v>1628</v>
      </c>
      <c r="B19" s="2" t="s">
        <v>1629</v>
      </c>
      <c r="C19" s="2" t="s">
        <v>112</v>
      </c>
      <c r="D19" s="2" t="n">
        <v>2026</v>
      </c>
      <c r="E19" s="2" t="s">
        <v>12</v>
      </c>
      <c r="F19" s="2" t="s">
        <v>26</v>
      </c>
      <c r="G19" s="2" t="s">
        <v>1592</v>
      </c>
      <c r="H19" s="2" t="s">
        <v>28</v>
      </c>
      <c r="I19" s="2" t="n">
        <v>0</v>
      </c>
    </row>
    <row r="20" customFormat="false" ht="15" hidden="false" customHeight="false" outlineLevel="0" collapsed="false">
      <c r="A20" s="2" t="s">
        <v>1630</v>
      </c>
      <c r="B20" s="2" t="s">
        <v>1631</v>
      </c>
      <c r="C20" s="2" t="s">
        <v>112</v>
      </c>
      <c r="D20" s="2" t="n">
        <v>2026</v>
      </c>
      <c r="E20" s="2" t="s">
        <v>12</v>
      </c>
      <c r="F20" s="2" t="s">
        <v>18</v>
      </c>
      <c r="G20" s="2" t="s">
        <v>1592</v>
      </c>
      <c r="H20" s="2" t="s">
        <v>20</v>
      </c>
      <c r="I20" s="2" t="n">
        <v>0</v>
      </c>
    </row>
    <row r="21" customFormat="false" ht="15" hidden="false" customHeight="false" outlineLevel="0" collapsed="false">
      <c r="A21" s="2" t="s">
        <v>1632</v>
      </c>
      <c r="B21" s="2" t="s">
        <v>1633</v>
      </c>
      <c r="C21" s="2" t="s">
        <v>121</v>
      </c>
      <c r="D21" s="2" t="n">
        <v>2026</v>
      </c>
      <c r="E21" s="2" t="s">
        <v>46</v>
      </c>
      <c r="F21" s="2" t="s">
        <v>13</v>
      </c>
      <c r="G21" s="2" t="s">
        <v>1592</v>
      </c>
      <c r="H21" s="2" t="s">
        <v>15</v>
      </c>
      <c r="I21" s="2" t="n">
        <v>0</v>
      </c>
    </row>
    <row r="22" customFormat="false" ht="15" hidden="false" customHeight="false" outlineLevel="0" collapsed="false">
      <c r="A22" s="2" t="s">
        <v>1634</v>
      </c>
      <c r="B22" s="2" t="s">
        <v>1635</v>
      </c>
      <c r="C22" s="2" t="s">
        <v>126</v>
      </c>
      <c r="D22" s="2" t="n">
        <v>2026</v>
      </c>
      <c r="E22" s="2" t="s">
        <v>12</v>
      </c>
      <c r="F22" s="2" t="s">
        <v>64</v>
      </c>
      <c r="G22" s="2" t="s">
        <v>1592</v>
      </c>
      <c r="H22" s="2" t="s">
        <v>65</v>
      </c>
      <c r="I22" s="2" t="n">
        <v>0</v>
      </c>
    </row>
    <row r="23" customFormat="false" ht="15" hidden="false" customHeight="false" outlineLevel="0" collapsed="false">
      <c r="A23" s="2" t="s">
        <v>1636</v>
      </c>
      <c r="B23" s="2" t="s">
        <v>1637</v>
      </c>
      <c r="C23" s="2" t="s">
        <v>137</v>
      </c>
      <c r="D23" s="2" t="n">
        <v>2026</v>
      </c>
      <c r="E23" s="2" t="s">
        <v>12</v>
      </c>
      <c r="F23" s="2" t="s">
        <v>26</v>
      </c>
      <c r="G23" s="2" t="s">
        <v>1592</v>
      </c>
      <c r="H23" s="2" t="s">
        <v>28</v>
      </c>
      <c r="I23" s="2" t="n">
        <v>0</v>
      </c>
    </row>
    <row r="24" customFormat="false" ht="15" hidden="false" customHeight="false" outlineLevel="0" collapsed="false">
      <c r="A24" s="2" t="s">
        <v>1638</v>
      </c>
      <c r="B24" s="2" t="s">
        <v>1639</v>
      </c>
      <c r="C24" s="2" t="s">
        <v>137</v>
      </c>
      <c r="D24" s="2" t="n">
        <v>2026</v>
      </c>
      <c r="E24" s="2" t="s">
        <v>12</v>
      </c>
      <c r="F24" s="2" t="s">
        <v>146</v>
      </c>
      <c r="G24" s="2" t="s">
        <v>1592</v>
      </c>
      <c r="H24" s="2" t="s">
        <v>147</v>
      </c>
      <c r="I24" s="2" t="n">
        <v>0</v>
      </c>
    </row>
    <row r="25" customFormat="false" ht="15" hidden="false" customHeight="false" outlineLevel="0" collapsed="false">
      <c r="A25" s="2" t="s">
        <v>1640</v>
      </c>
      <c r="B25" s="2" t="s">
        <v>1641</v>
      </c>
      <c r="C25" s="2" t="s">
        <v>159</v>
      </c>
      <c r="D25" s="2" t="n">
        <v>2026</v>
      </c>
      <c r="E25" s="2" t="s">
        <v>12</v>
      </c>
      <c r="F25" s="2" t="s">
        <v>64</v>
      </c>
      <c r="G25" s="2" t="s">
        <v>1592</v>
      </c>
      <c r="H25" s="2" t="s">
        <v>65</v>
      </c>
      <c r="I25" s="2" t="n">
        <v>0</v>
      </c>
    </row>
    <row r="26" customFormat="false" ht="15" hidden="false" customHeight="false" outlineLevel="0" collapsed="false">
      <c r="A26" s="2" t="s">
        <v>1642</v>
      </c>
      <c r="B26" s="2" t="s">
        <v>1643</v>
      </c>
      <c r="C26" s="2" t="s">
        <v>166</v>
      </c>
      <c r="D26" s="2" t="n">
        <v>2026</v>
      </c>
      <c r="E26" s="2" t="s">
        <v>12</v>
      </c>
      <c r="F26" s="2" t="s">
        <v>26</v>
      </c>
      <c r="G26" s="2" t="s">
        <v>1592</v>
      </c>
      <c r="H26" s="2" t="s">
        <v>28</v>
      </c>
      <c r="I26" s="2" t="n">
        <v>0</v>
      </c>
    </row>
    <row r="27" customFormat="false" ht="15" hidden="false" customHeight="false" outlineLevel="0" collapsed="false">
      <c r="A27" s="2" t="s">
        <v>1644</v>
      </c>
      <c r="B27" s="2" t="s">
        <v>1645</v>
      </c>
      <c r="C27" s="2" t="s">
        <v>166</v>
      </c>
      <c r="D27" s="2" t="n">
        <v>2026</v>
      </c>
      <c r="E27" s="2" t="s">
        <v>12</v>
      </c>
      <c r="F27" s="2" t="s">
        <v>82</v>
      </c>
      <c r="G27" s="2" t="s">
        <v>1592</v>
      </c>
      <c r="H27" s="2" t="s">
        <v>83</v>
      </c>
      <c r="I27" s="2" t="n">
        <v>0</v>
      </c>
    </row>
    <row r="28" customFormat="false" ht="15" hidden="false" customHeight="false" outlineLevel="0" collapsed="false">
      <c r="A28" s="2" t="s">
        <v>1646</v>
      </c>
      <c r="B28" s="2" t="s">
        <v>1647</v>
      </c>
      <c r="C28" s="2" t="s">
        <v>173</v>
      </c>
      <c r="D28" s="2" t="n">
        <v>2026</v>
      </c>
      <c r="E28" s="2" t="s">
        <v>46</v>
      </c>
      <c r="F28" s="2" t="s">
        <v>155</v>
      </c>
      <c r="G28" s="2" t="s">
        <v>1592</v>
      </c>
      <c r="H28" s="2" t="s">
        <v>156</v>
      </c>
      <c r="I28" s="2" t="n">
        <v>0</v>
      </c>
    </row>
    <row r="29" customFormat="false" ht="15" hidden="false" customHeight="false" outlineLevel="0" collapsed="false">
      <c r="A29" s="2" t="s">
        <v>1648</v>
      </c>
      <c r="B29" s="2" t="s">
        <v>1649</v>
      </c>
      <c r="C29" s="2" t="s">
        <v>185</v>
      </c>
      <c r="D29" s="2" t="n">
        <v>2026</v>
      </c>
      <c r="E29" s="2" t="s">
        <v>12</v>
      </c>
      <c r="F29" s="2" t="s">
        <v>1650</v>
      </c>
      <c r="G29" s="2" t="s">
        <v>1592</v>
      </c>
      <c r="H29" s="2" t="s">
        <v>1651</v>
      </c>
      <c r="I29" s="2" t="n">
        <v>0</v>
      </c>
    </row>
    <row r="30" customFormat="false" ht="15" hidden="false" customHeight="false" outlineLevel="0" collapsed="false">
      <c r="A30" s="2" t="s">
        <v>1652</v>
      </c>
      <c r="B30" s="2" t="s">
        <v>1653</v>
      </c>
      <c r="C30" s="2" t="s">
        <v>185</v>
      </c>
      <c r="D30" s="2" t="n">
        <v>2026</v>
      </c>
      <c r="E30" s="2" t="s">
        <v>12</v>
      </c>
      <c r="F30" s="2" t="s">
        <v>13</v>
      </c>
      <c r="G30" s="2" t="s">
        <v>1592</v>
      </c>
      <c r="H30" s="2" t="s">
        <v>15</v>
      </c>
      <c r="I30" s="2" t="n">
        <v>0</v>
      </c>
    </row>
    <row r="31" customFormat="false" ht="15" hidden="false" customHeight="false" outlineLevel="0" collapsed="false">
      <c r="A31" s="2" t="s">
        <v>1654</v>
      </c>
      <c r="B31" s="2" t="s">
        <v>1655</v>
      </c>
      <c r="C31" s="2" t="s">
        <v>185</v>
      </c>
      <c r="D31" s="2" t="n">
        <v>2026</v>
      </c>
      <c r="E31" s="2" t="s">
        <v>12</v>
      </c>
      <c r="F31" s="2" t="s">
        <v>155</v>
      </c>
      <c r="G31" s="2" t="s">
        <v>1592</v>
      </c>
      <c r="H31" s="2" t="s">
        <v>156</v>
      </c>
      <c r="I31" s="2" t="n">
        <v>0</v>
      </c>
    </row>
    <row r="32" customFormat="false" ht="15" hidden="false" customHeight="false" outlineLevel="0" collapsed="false">
      <c r="A32" s="2" t="s">
        <v>1656</v>
      </c>
      <c r="B32" s="2" t="s">
        <v>1657</v>
      </c>
      <c r="C32" s="2" t="s">
        <v>185</v>
      </c>
      <c r="D32" s="2" t="n">
        <v>2026</v>
      </c>
      <c r="E32" s="2" t="s">
        <v>12</v>
      </c>
      <c r="F32" s="2" t="s">
        <v>13</v>
      </c>
      <c r="G32" s="2" t="s">
        <v>1592</v>
      </c>
      <c r="H32" s="2" t="s">
        <v>15</v>
      </c>
      <c r="I32" s="2" t="n">
        <v>0</v>
      </c>
    </row>
    <row r="33" customFormat="false" ht="15" hidden="false" customHeight="false" outlineLevel="0" collapsed="false">
      <c r="A33" s="2" t="s">
        <v>1658</v>
      </c>
      <c r="B33" s="2" t="s">
        <v>1659</v>
      </c>
      <c r="C33" s="2" t="s">
        <v>192</v>
      </c>
      <c r="D33" s="2" t="n">
        <v>2026</v>
      </c>
      <c r="E33" s="2" t="s">
        <v>46</v>
      </c>
      <c r="F33" s="2" t="s">
        <v>55</v>
      </c>
      <c r="G33" s="2" t="s">
        <v>1592</v>
      </c>
      <c r="H33" s="2" t="s">
        <v>56</v>
      </c>
      <c r="I33" s="2" t="n">
        <v>0</v>
      </c>
    </row>
    <row r="34" customFormat="false" ht="15" hidden="false" customHeight="false" outlineLevel="0" collapsed="false">
      <c r="A34" s="2" t="s">
        <v>1660</v>
      </c>
      <c r="B34" s="2" t="s">
        <v>1661</v>
      </c>
      <c r="C34" s="2" t="s">
        <v>195</v>
      </c>
      <c r="D34" s="2" t="n">
        <v>2026</v>
      </c>
      <c r="E34" s="2" t="s">
        <v>12</v>
      </c>
      <c r="F34" s="2" t="s">
        <v>1650</v>
      </c>
      <c r="G34" s="2" t="s">
        <v>1592</v>
      </c>
      <c r="H34" s="2" t="s">
        <v>1651</v>
      </c>
      <c r="I34" s="2" t="n">
        <v>0</v>
      </c>
    </row>
    <row r="35" customFormat="false" ht="15" hidden="false" customHeight="false" outlineLevel="0" collapsed="false">
      <c r="A35" s="2" t="s">
        <v>1662</v>
      </c>
      <c r="B35" s="2" t="s">
        <v>1663</v>
      </c>
      <c r="C35" s="2" t="s">
        <v>222</v>
      </c>
      <c r="D35" s="2" t="n">
        <v>2026</v>
      </c>
      <c r="E35" s="2" t="s">
        <v>12</v>
      </c>
      <c r="F35" s="2" t="s">
        <v>13</v>
      </c>
      <c r="G35" s="2" t="s">
        <v>1592</v>
      </c>
      <c r="H35" s="2" t="s">
        <v>15</v>
      </c>
      <c r="I35" s="2" t="n">
        <v>0</v>
      </c>
    </row>
    <row r="36" customFormat="false" ht="15" hidden="false" customHeight="false" outlineLevel="0" collapsed="false">
      <c r="A36" s="2" t="s">
        <v>1664</v>
      </c>
      <c r="B36" s="2" t="s">
        <v>1665</v>
      </c>
      <c r="C36" s="2" t="s">
        <v>222</v>
      </c>
      <c r="D36" s="2" t="n">
        <v>2026</v>
      </c>
      <c r="E36" s="2" t="s">
        <v>12</v>
      </c>
      <c r="F36" s="2" t="s">
        <v>64</v>
      </c>
      <c r="G36" s="2" t="s">
        <v>1592</v>
      </c>
      <c r="H36" s="2" t="s">
        <v>65</v>
      </c>
      <c r="I36" s="2" t="n">
        <v>0</v>
      </c>
    </row>
    <row r="37" customFormat="false" ht="15" hidden="false" customHeight="false" outlineLevel="0" collapsed="false">
      <c r="A37" s="2" t="s">
        <v>1666</v>
      </c>
      <c r="B37" s="2" t="s">
        <v>1667</v>
      </c>
      <c r="C37" s="2" t="s">
        <v>1668</v>
      </c>
      <c r="D37" s="2" t="n">
        <v>2026</v>
      </c>
      <c r="E37" s="2" t="s">
        <v>60</v>
      </c>
      <c r="F37" s="2" t="s">
        <v>26</v>
      </c>
      <c r="G37" s="2" t="s">
        <v>1592</v>
      </c>
      <c r="H37" s="2" t="s">
        <v>28</v>
      </c>
      <c r="I37" s="2" t="n">
        <v>0</v>
      </c>
    </row>
    <row r="38" customFormat="false" ht="15" hidden="false" customHeight="false" outlineLevel="0" collapsed="false">
      <c r="A38" s="2" t="s">
        <v>1669</v>
      </c>
      <c r="B38" s="2" t="s">
        <v>1670</v>
      </c>
      <c r="C38" s="2" t="s">
        <v>1671</v>
      </c>
      <c r="D38" s="2" t="n">
        <v>2026</v>
      </c>
      <c r="E38" s="2" t="s">
        <v>46</v>
      </c>
      <c r="F38" s="2" t="s">
        <v>26</v>
      </c>
      <c r="G38" s="2" t="s">
        <v>1592</v>
      </c>
      <c r="H38" s="2" t="s">
        <v>28</v>
      </c>
      <c r="I38" s="2" t="n">
        <v>0</v>
      </c>
    </row>
    <row r="39" customFormat="false" ht="15" hidden="false" customHeight="false" outlineLevel="0" collapsed="false">
      <c r="A39" s="2" t="s">
        <v>1672</v>
      </c>
      <c r="B39" s="2" t="s">
        <v>1673</v>
      </c>
      <c r="C39" s="2" t="s">
        <v>1671</v>
      </c>
      <c r="D39" s="2" t="n">
        <v>2026</v>
      </c>
      <c r="E39" s="2" t="s">
        <v>710</v>
      </c>
      <c r="F39" s="2" t="s">
        <v>13</v>
      </c>
      <c r="G39" s="2" t="s">
        <v>1592</v>
      </c>
      <c r="H39" s="2" t="s">
        <v>15</v>
      </c>
      <c r="I39" s="2" t="n">
        <v>0</v>
      </c>
    </row>
    <row r="40" customFormat="false" ht="15" hidden="false" customHeight="false" outlineLevel="0" collapsed="false">
      <c r="A40" s="2" t="s">
        <v>1674</v>
      </c>
      <c r="B40" s="2" t="s">
        <v>1675</v>
      </c>
      <c r="C40" s="2" t="s">
        <v>242</v>
      </c>
      <c r="D40" s="2" t="n">
        <v>2026</v>
      </c>
      <c r="E40" s="2" t="s">
        <v>12</v>
      </c>
      <c r="F40" s="2" t="s">
        <v>64</v>
      </c>
      <c r="G40" s="2" t="s">
        <v>1592</v>
      </c>
      <c r="H40" s="2" t="s">
        <v>65</v>
      </c>
      <c r="I40" s="2" t="n">
        <v>0</v>
      </c>
    </row>
    <row r="41" customFormat="false" ht="15" hidden="false" customHeight="false" outlineLevel="0" collapsed="false">
      <c r="A41" s="2" t="s">
        <v>1676</v>
      </c>
      <c r="B41" s="2" t="s">
        <v>1677</v>
      </c>
      <c r="C41" s="2" t="s">
        <v>259</v>
      </c>
      <c r="D41" s="2" t="n">
        <v>2026</v>
      </c>
      <c r="E41" s="2" t="s">
        <v>12</v>
      </c>
      <c r="F41" s="2" t="s">
        <v>13</v>
      </c>
      <c r="G41" s="2" t="s">
        <v>1592</v>
      </c>
      <c r="H41" s="2" t="s">
        <v>15</v>
      </c>
      <c r="I41" s="2" t="n">
        <v>1</v>
      </c>
    </row>
    <row r="42" customFormat="false" ht="15" hidden="false" customHeight="false" outlineLevel="0" collapsed="false">
      <c r="A42" s="2" t="s">
        <v>1678</v>
      </c>
      <c r="B42" s="2" t="s">
        <v>1679</v>
      </c>
      <c r="C42" s="2" t="s">
        <v>259</v>
      </c>
      <c r="D42" s="2" t="n">
        <v>2026</v>
      </c>
      <c r="E42" s="2" t="s">
        <v>12</v>
      </c>
      <c r="F42" s="2" t="s">
        <v>13</v>
      </c>
      <c r="G42" s="2" t="s">
        <v>1592</v>
      </c>
      <c r="H42" s="2" t="s">
        <v>15</v>
      </c>
      <c r="I42" s="2" t="n">
        <v>0</v>
      </c>
    </row>
    <row r="43" customFormat="false" ht="15" hidden="false" customHeight="false" outlineLevel="0" collapsed="false">
      <c r="A43" s="2" t="s">
        <v>1680</v>
      </c>
      <c r="B43" s="2" t="s">
        <v>1681</v>
      </c>
      <c r="C43" s="2" t="s">
        <v>279</v>
      </c>
      <c r="D43" s="2" t="n">
        <v>2026</v>
      </c>
      <c r="E43" s="2" t="s">
        <v>46</v>
      </c>
      <c r="F43" s="2" t="s">
        <v>155</v>
      </c>
      <c r="G43" s="2" t="s">
        <v>1592</v>
      </c>
      <c r="H43" s="2" t="s">
        <v>156</v>
      </c>
      <c r="I43" s="2" t="n">
        <v>0</v>
      </c>
    </row>
    <row r="44" customFormat="false" ht="15" hidden="false" customHeight="false" outlineLevel="0" collapsed="false">
      <c r="A44" s="2" t="s">
        <v>1682</v>
      </c>
      <c r="B44" s="2" t="s">
        <v>1683</v>
      </c>
      <c r="C44" s="2" t="s">
        <v>282</v>
      </c>
      <c r="D44" s="2" t="n">
        <v>2026</v>
      </c>
      <c r="E44" s="2" t="s">
        <v>12</v>
      </c>
      <c r="F44" s="2" t="s">
        <v>64</v>
      </c>
      <c r="G44" s="2" t="s">
        <v>1592</v>
      </c>
      <c r="H44" s="2" t="s">
        <v>65</v>
      </c>
      <c r="I44" s="2" t="n">
        <v>0</v>
      </c>
    </row>
    <row r="45" customFormat="false" ht="15" hidden="false" customHeight="false" outlineLevel="0" collapsed="false">
      <c r="A45" s="2" t="s">
        <v>1684</v>
      </c>
      <c r="B45" s="2" t="s">
        <v>1685</v>
      </c>
      <c r="C45" s="2" t="s">
        <v>282</v>
      </c>
      <c r="D45" s="2" t="n">
        <v>2026</v>
      </c>
      <c r="E45" s="2" t="s">
        <v>12</v>
      </c>
      <c r="F45" s="2" t="s">
        <v>82</v>
      </c>
      <c r="G45" s="2" t="s">
        <v>1592</v>
      </c>
      <c r="H45" s="2" t="s">
        <v>83</v>
      </c>
      <c r="I45" s="2" t="n">
        <v>0</v>
      </c>
    </row>
    <row r="46" customFormat="false" ht="15" hidden="false" customHeight="false" outlineLevel="0" collapsed="false">
      <c r="A46" s="2" t="s">
        <v>1686</v>
      </c>
      <c r="B46" s="2" t="s">
        <v>1687</v>
      </c>
      <c r="C46" s="2" t="s">
        <v>287</v>
      </c>
      <c r="D46" s="2" t="n">
        <v>2026</v>
      </c>
      <c r="E46" s="2" t="s">
        <v>12</v>
      </c>
      <c r="F46" s="2" t="s">
        <v>72</v>
      </c>
      <c r="G46" s="2" t="s">
        <v>1592</v>
      </c>
      <c r="H46" s="2" t="s">
        <v>74</v>
      </c>
      <c r="I46" s="2" t="n">
        <v>0</v>
      </c>
    </row>
    <row r="47" customFormat="false" ht="15" hidden="false" customHeight="false" outlineLevel="0" collapsed="false">
      <c r="A47" s="2" t="s">
        <v>1688</v>
      </c>
      <c r="B47" s="2" t="s">
        <v>1689</v>
      </c>
      <c r="C47" s="2" t="s">
        <v>287</v>
      </c>
      <c r="D47" s="2" t="n">
        <v>2026</v>
      </c>
      <c r="E47" s="2" t="s">
        <v>12</v>
      </c>
      <c r="F47" s="2" t="s">
        <v>26</v>
      </c>
      <c r="G47" s="2" t="s">
        <v>1592</v>
      </c>
      <c r="H47" s="2" t="s">
        <v>28</v>
      </c>
      <c r="I47" s="2" t="n">
        <v>1</v>
      </c>
    </row>
    <row r="48" customFormat="false" ht="15" hidden="false" customHeight="false" outlineLevel="0" collapsed="false">
      <c r="A48" s="2" t="s">
        <v>1690</v>
      </c>
      <c r="B48" s="2" t="s">
        <v>1691</v>
      </c>
      <c r="C48" s="2" t="s">
        <v>313</v>
      </c>
      <c r="D48" s="2" t="n">
        <v>2026</v>
      </c>
      <c r="E48" s="2" t="s">
        <v>12</v>
      </c>
      <c r="F48" s="2" t="s">
        <v>26</v>
      </c>
      <c r="G48" s="2" t="s">
        <v>1592</v>
      </c>
      <c r="H48" s="2" t="s">
        <v>28</v>
      </c>
      <c r="I48" s="2" t="n">
        <v>0</v>
      </c>
    </row>
    <row r="49" customFormat="false" ht="15" hidden="false" customHeight="false" outlineLevel="0" collapsed="false">
      <c r="A49" s="2" t="s">
        <v>1692</v>
      </c>
      <c r="B49" s="2" t="s">
        <v>1693</v>
      </c>
      <c r="C49" s="2" t="s">
        <v>324</v>
      </c>
      <c r="D49" s="2" t="n">
        <v>2026</v>
      </c>
      <c r="E49" s="2" t="s">
        <v>12</v>
      </c>
      <c r="F49" s="2" t="s">
        <v>64</v>
      </c>
      <c r="G49" s="2" t="s">
        <v>1592</v>
      </c>
      <c r="H49" s="2" t="s">
        <v>65</v>
      </c>
      <c r="I49" s="2" t="n">
        <v>0</v>
      </c>
    </row>
    <row r="50" customFormat="false" ht="15" hidden="false" customHeight="false" outlineLevel="0" collapsed="false">
      <c r="A50" s="2" t="s">
        <v>1694</v>
      </c>
      <c r="B50" s="2" t="s">
        <v>1695</v>
      </c>
      <c r="C50" s="2" t="s">
        <v>324</v>
      </c>
      <c r="D50" s="2" t="n">
        <v>2026</v>
      </c>
      <c r="E50" s="2" t="s">
        <v>12</v>
      </c>
      <c r="F50" s="2" t="s">
        <v>26</v>
      </c>
      <c r="G50" s="2" t="s">
        <v>1592</v>
      </c>
      <c r="H50" s="2" t="s">
        <v>28</v>
      </c>
      <c r="I50" s="2" t="n">
        <v>0</v>
      </c>
    </row>
    <row r="51" customFormat="false" ht="15" hidden="false" customHeight="false" outlineLevel="0" collapsed="false">
      <c r="A51" s="2" t="s">
        <v>1696</v>
      </c>
      <c r="B51" s="2" t="s">
        <v>1697</v>
      </c>
      <c r="C51" s="2" t="s">
        <v>343</v>
      </c>
      <c r="D51" s="2" t="n">
        <v>2026</v>
      </c>
      <c r="E51" s="2" t="s">
        <v>12</v>
      </c>
      <c r="F51" s="2" t="s">
        <v>55</v>
      </c>
      <c r="G51" s="2" t="s">
        <v>1592</v>
      </c>
      <c r="H51" s="2" t="s">
        <v>56</v>
      </c>
      <c r="I51" s="2" t="n">
        <v>0</v>
      </c>
    </row>
    <row r="52" customFormat="false" ht="15" hidden="false" customHeight="false" outlineLevel="0" collapsed="false">
      <c r="A52" s="2" t="s">
        <v>1698</v>
      </c>
      <c r="B52" s="2" t="s">
        <v>1699</v>
      </c>
      <c r="C52" s="2" t="s">
        <v>349</v>
      </c>
      <c r="D52" s="2" t="n">
        <v>2026</v>
      </c>
      <c r="E52" s="2" t="s">
        <v>12</v>
      </c>
      <c r="F52" s="2" t="s">
        <v>64</v>
      </c>
      <c r="G52" s="2" t="s">
        <v>1592</v>
      </c>
      <c r="H52" s="2" t="s">
        <v>65</v>
      </c>
      <c r="I52" s="2" t="n">
        <v>0</v>
      </c>
    </row>
    <row r="53" customFormat="false" ht="15" hidden="false" customHeight="false" outlineLevel="0" collapsed="false">
      <c r="A53" s="2" t="s">
        <v>1700</v>
      </c>
      <c r="B53" s="2" t="s">
        <v>1701</v>
      </c>
      <c r="C53" s="2" t="s">
        <v>349</v>
      </c>
      <c r="D53" s="2" t="n">
        <v>2026</v>
      </c>
      <c r="E53" s="2" t="s">
        <v>12</v>
      </c>
      <c r="F53" s="2" t="s">
        <v>82</v>
      </c>
      <c r="G53" s="2" t="s">
        <v>1592</v>
      </c>
      <c r="H53" s="2" t="s">
        <v>83</v>
      </c>
      <c r="I53" s="2" t="n">
        <v>0</v>
      </c>
    </row>
    <row r="54" customFormat="false" ht="15" hidden="false" customHeight="false" outlineLevel="0" collapsed="false">
      <c r="A54" s="2" t="s">
        <v>1702</v>
      </c>
      <c r="B54" s="2" t="s">
        <v>1703</v>
      </c>
      <c r="C54" s="2" t="s">
        <v>349</v>
      </c>
      <c r="D54" s="2" t="n">
        <v>2026</v>
      </c>
      <c r="E54" s="2" t="s">
        <v>12</v>
      </c>
      <c r="F54" s="2" t="s">
        <v>82</v>
      </c>
      <c r="G54" s="2" t="s">
        <v>1592</v>
      </c>
      <c r="H54" s="2" t="s">
        <v>83</v>
      </c>
      <c r="I54" s="2" t="n">
        <v>0</v>
      </c>
    </row>
    <row r="55" customFormat="false" ht="15" hidden="false" customHeight="false" outlineLevel="0" collapsed="false">
      <c r="A55" s="2" t="s">
        <v>1704</v>
      </c>
      <c r="B55" s="2" t="s">
        <v>1705</v>
      </c>
      <c r="C55" s="2" t="s">
        <v>349</v>
      </c>
      <c r="D55" s="2" t="n">
        <v>2026</v>
      </c>
      <c r="E55" s="2" t="s">
        <v>12</v>
      </c>
      <c r="F55" s="2" t="s">
        <v>13</v>
      </c>
      <c r="G55" s="2" t="s">
        <v>1592</v>
      </c>
      <c r="H55" s="2" t="s">
        <v>15</v>
      </c>
      <c r="I55" s="2" t="n">
        <v>0</v>
      </c>
    </row>
    <row r="56" customFormat="false" ht="15" hidden="false" customHeight="false" outlineLevel="0" collapsed="false">
      <c r="A56" s="2" t="s">
        <v>1706</v>
      </c>
      <c r="B56" s="2" t="s">
        <v>1707</v>
      </c>
      <c r="C56" s="2" t="s">
        <v>1708</v>
      </c>
      <c r="D56" s="2" t="n">
        <v>2026</v>
      </c>
      <c r="E56" s="2" t="s">
        <v>12</v>
      </c>
      <c r="F56" s="2" t="s">
        <v>13</v>
      </c>
      <c r="G56" s="2" t="s">
        <v>1592</v>
      </c>
      <c r="H56" s="2" t="s">
        <v>15</v>
      </c>
      <c r="I56" s="2" t="n">
        <v>0</v>
      </c>
    </row>
    <row r="57" customFormat="false" ht="15" hidden="false" customHeight="false" outlineLevel="0" collapsed="false">
      <c r="A57" s="2" t="s">
        <v>1709</v>
      </c>
      <c r="B57" s="2" t="s">
        <v>1710</v>
      </c>
      <c r="C57" s="2" t="s">
        <v>1708</v>
      </c>
      <c r="D57" s="2" t="n">
        <v>2026</v>
      </c>
      <c r="E57" s="2" t="s">
        <v>12</v>
      </c>
      <c r="F57" s="2" t="s">
        <v>908</v>
      </c>
      <c r="G57" s="2" t="s">
        <v>1592</v>
      </c>
      <c r="H57" s="2" t="s">
        <v>909</v>
      </c>
      <c r="I57" s="2" t="n">
        <v>0</v>
      </c>
    </row>
    <row r="58" customFormat="false" ht="15" hidden="false" customHeight="false" outlineLevel="0" collapsed="false">
      <c r="A58" s="2" t="s">
        <v>1711</v>
      </c>
      <c r="B58" s="2" t="s">
        <v>1712</v>
      </c>
      <c r="C58" s="2" t="s">
        <v>1708</v>
      </c>
      <c r="D58" s="2" t="n">
        <v>2026</v>
      </c>
      <c r="E58" s="2" t="s">
        <v>12</v>
      </c>
      <c r="F58" s="2" t="s">
        <v>13</v>
      </c>
      <c r="G58" s="2" t="s">
        <v>1592</v>
      </c>
      <c r="H58" s="2" t="s">
        <v>15</v>
      </c>
      <c r="I58" s="2" t="n">
        <v>0</v>
      </c>
    </row>
    <row r="59" customFormat="false" ht="15" hidden="false" customHeight="false" outlineLevel="0" collapsed="false">
      <c r="A59" s="2" t="s">
        <v>1713</v>
      </c>
      <c r="B59" s="2" t="s">
        <v>1714</v>
      </c>
      <c r="C59" s="2" t="s">
        <v>361</v>
      </c>
      <c r="D59" s="2" t="n">
        <v>2026</v>
      </c>
      <c r="E59" s="2" t="s">
        <v>12</v>
      </c>
      <c r="F59" s="2" t="s">
        <v>13</v>
      </c>
      <c r="G59" s="2" t="s">
        <v>1592</v>
      </c>
      <c r="H59" s="2" t="s">
        <v>15</v>
      </c>
      <c r="I59" s="2" t="n">
        <v>0</v>
      </c>
    </row>
    <row r="60" customFormat="false" ht="15" hidden="false" customHeight="false" outlineLevel="0" collapsed="false">
      <c r="A60" s="2" t="s">
        <v>1715</v>
      </c>
      <c r="B60" s="2" t="s">
        <v>1716</v>
      </c>
      <c r="C60" s="2" t="s">
        <v>361</v>
      </c>
      <c r="D60" s="2" t="n">
        <v>2026</v>
      </c>
      <c r="E60" s="2" t="s">
        <v>12</v>
      </c>
      <c r="F60" s="2" t="s">
        <v>13</v>
      </c>
      <c r="G60" s="2" t="s">
        <v>1592</v>
      </c>
      <c r="H60" s="2" t="s">
        <v>15</v>
      </c>
      <c r="I60" s="2" t="n">
        <v>0</v>
      </c>
    </row>
    <row r="61" customFormat="false" ht="15" hidden="false" customHeight="false" outlineLevel="0" collapsed="false">
      <c r="A61" s="2" t="s">
        <v>1717</v>
      </c>
      <c r="B61" s="2" t="s">
        <v>1718</v>
      </c>
      <c r="C61" s="2" t="s">
        <v>361</v>
      </c>
      <c r="D61" s="2" t="n">
        <v>2026</v>
      </c>
      <c r="E61" s="2" t="s">
        <v>40</v>
      </c>
      <c r="F61" s="2" t="s">
        <v>41</v>
      </c>
      <c r="G61" s="2" t="s">
        <v>1592</v>
      </c>
      <c r="H61" s="2" t="s">
        <v>276</v>
      </c>
      <c r="I61" s="2" t="n">
        <v>0</v>
      </c>
    </row>
    <row r="62" customFormat="false" ht="15" hidden="false" customHeight="false" outlineLevel="0" collapsed="false">
      <c r="A62" s="2" t="s">
        <v>1719</v>
      </c>
      <c r="B62" s="2" t="s">
        <v>1720</v>
      </c>
      <c r="C62" s="2" t="s">
        <v>361</v>
      </c>
      <c r="D62" s="2" t="n">
        <v>2026</v>
      </c>
      <c r="E62" s="2" t="s">
        <v>40</v>
      </c>
      <c r="F62" s="2" t="s">
        <v>26</v>
      </c>
      <c r="G62" s="2" t="s">
        <v>1592</v>
      </c>
      <c r="H62" s="2" t="s">
        <v>28</v>
      </c>
      <c r="I62" s="2" t="n">
        <v>0</v>
      </c>
    </row>
    <row r="63" customFormat="false" ht="15" hidden="false" customHeight="false" outlineLevel="0" collapsed="false">
      <c r="A63" s="2" t="s">
        <v>1721</v>
      </c>
      <c r="B63" s="2" t="s">
        <v>1722</v>
      </c>
      <c r="C63" s="2" t="s">
        <v>361</v>
      </c>
      <c r="D63" s="2" t="n">
        <v>2026</v>
      </c>
      <c r="E63" s="2" t="s">
        <v>40</v>
      </c>
      <c r="F63" s="2" t="s">
        <v>26</v>
      </c>
      <c r="G63" s="2" t="s">
        <v>1592</v>
      </c>
      <c r="H63" s="2" t="s">
        <v>28</v>
      </c>
      <c r="I63" s="2" t="n">
        <v>0</v>
      </c>
    </row>
    <row r="64" customFormat="false" ht="15" hidden="false" customHeight="false" outlineLevel="0" collapsed="false">
      <c r="A64" s="2" t="s">
        <v>1723</v>
      </c>
      <c r="B64" s="2" t="s">
        <v>1724</v>
      </c>
      <c r="C64" s="2" t="s">
        <v>361</v>
      </c>
      <c r="D64" s="2" t="n">
        <v>2026</v>
      </c>
      <c r="E64" s="2" t="s">
        <v>40</v>
      </c>
      <c r="F64" s="2" t="s">
        <v>55</v>
      </c>
      <c r="G64" s="2" t="s">
        <v>1592</v>
      </c>
      <c r="H64" s="2" t="s">
        <v>56</v>
      </c>
      <c r="I64" s="2" t="n">
        <v>0</v>
      </c>
    </row>
    <row r="65" customFormat="false" ht="15" hidden="false" customHeight="false" outlineLevel="0" collapsed="false">
      <c r="A65" s="2" t="s">
        <v>1725</v>
      </c>
      <c r="B65" s="2" t="s">
        <v>1726</v>
      </c>
      <c r="C65" s="2" t="s">
        <v>370</v>
      </c>
      <c r="D65" s="2" t="n">
        <v>2026</v>
      </c>
      <c r="E65" s="2" t="s">
        <v>46</v>
      </c>
      <c r="F65" s="2" t="s">
        <v>18</v>
      </c>
      <c r="G65" s="2" t="s">
        <v>1592</v>
      </c>
      <c r="H65" s="2" t="s">
        <v>20</v>
      </c>
      <c r="I65" s="2" t="n">
        <v>0</v>
      </c>
    </row>
    <row r="66" customFormat="false" ht="15" hidden="false" customHeight="false" outlineLevel="0" collapsed="false">
      <c r="A66" s="2" t="s">
        <v>1727</v>
      </c>
      <c r="B66" s="2" t="s">
        <v>1728</v>
      </c>
      <c r="C66" s="2" t="s">
        <v>386</v>
      </c>
      <c r="D66" s="2" t="n">
        <v>2026</v>
      </c>
      <c r="E66" s="2" t="s">
        <v>12</v>
      </c>
      <c r="F66" s="2" t="s">
        <v>64</v>
      </c>
      <c r="G66" s="2" t="s">
        <v>1592</v>
      </c>
      <c r="H66" s="2" t="s">
        <v>65</v>
      </c>
      <c r="I66" s="2" t="n">
        <v>0</v>
      </c>
    </row>
    <row r="67" customFormat="false" ht="15" hidden="false" customHeight="false" outlineLevel="0" collapsed="false">
      <c r="A67" s="2" t="s">
        <v>1729</v>
      </c>
      <c r="B67" s="2" t="s">
        <v>1730</v>
      </c>
      <c r="C67" s="2" t="s">
        <v>386</v>
      </c>
      <c r="D67" s="2" t="n">
        <v>2026</v>
      </c>
      <c r="E67" s="2" t="s">
        <v>12</v>
      </c>
      <c r="F67" s="2" t="s">
        <v>82</v>
      </c>
      <c r="G67" s="2" t="s">
        <v>1592</v>
      </c>
      <c r="H67" s="2" t="s">
        <v>83</v>
      </c>
      <c r="I67" s="2" t="n">
        <v>1</v>
      </c>
    </row>
    <row r="68" customFormat="false" ht="15" hidden="false" customHeight="false" outlineLevel="0" collapsed="false">
      <c r="A68" s="2" t="s">
        <v>1731</v>
      </c>
      <c r="B68" s="2" t="s">
        <v>1732</v>
      </c>
      <c r="C68" s="2" t="s">
        <v>403</v>
      </c>
      <c r="D68" s="2" t="n">
        <v>2026</v>
      </c>
      <c r="E68" s="2" t="s">
        <v>46</v>
      </c>
      <c r="F68" s="2" t="s">
        <v>26</v>
      </c>
      <c r="G68" s="2" t="s">
        <v>1592</v>
      </c>
      <c r="H68" s="2" t="s">
        <v>28</v>
      </c>
      <c r="I68" s="2" t="n">
        <v>0</v>
      </c>
    </row>
    <row r="69" customFormat="false" ht="15" hidden="false" customHeight="false" outlineLevel="0" collapsed="false">
      <c r="A69" s="2" t="s">
        <v>1733</v>
      </c>
      <c r="B69" s="2" t="s">
        <v>1734</v>
      </c>
      <c r="C69" s="2" t="s">
        <v>403</v>
      </c>
      <c r="D69" s="2" t="n">
        <v>2026</v>
      </c>
      <c r="E69" s="2" t="s">
        <v>46</v>
      </c>
      <c r="F69" s="2" t="s">
        <v>26</v>
      </c>
      <c r="G69" s="2" t="s">
        <v>1592</v>
      </c>
      <c r="H69" s="2" t="s">
        <v>28</v>
      </c>
      <c r="I69" s="2" t="n">
        <v>0</v>
      </c>
    </row>
    <row r="70" customFormat="false" ht="15" hidden="false" customHeight="false" outlineLevel="0" collapsed="false">
      <c r="A70" s="2" t="s">
        <v>1735</v>
      </c>
      <c r="B70" s="2" t="s">
        <v>1736</v>
      </c>
      <c r="C70" s="2" t="s">
        <v>408</v>
      </c>
      <c r="D70" s="2" t="n">
        <v>2026</v>
      </c>
      <c r="E70" s="2" t="s">
        <v>60</v>
      </c>
      <c r="F70" s="2" t="s">
        <v>26</v>
      </c>
      <c r="G70" s="2" t="s">
        <v>1592</v>
      </c>
      <c r="H70" s="2" t="s">
        <v>28</v>
      </c>
      <c r="I70" s="2" t="n">
        <v>0</v>
      </c>
    </row>
    <row r="71" customFormat="false" ht="15" hidden="false" customHeight="false" outlineLevel="0" collapsed="false">
      <c r="A71" s="2" t="s">
        <v>1737</v>
      </c>
      <c r="B71" s="2" t="s">
        <v>1738</v>
      </c>
      <c r="C71" s="2" t="s">
        <v>411</v>
      </c>
      <c r="D71" s="2" t="n">
        <v>2026</v>
      </c>
      <c r="E71" s="2" t="s">
        <v>1739</v>
      </c>
      <c r="F71" s="2" t="s">
        <v>55</v>
      </c>
      <c r="G71" s="2" t="s">
        <v>1592</v>
      </c>
      <c r="H71" s="2" t="s">
        <v>56</v>
      </c>
      <c r="I71" s="2" t="n">
        <v>0</v>
      </c>
    </row>
    <row r="72" customFormat="false" ht="15" hidden="false" customHeight="false" outlineLevel="0" collapsed="false">
      <c r="A72" s="2" t="s">
        <v>1740</v>
      </c>
      <c r="B72" s="2" t="s">
        <v>1741</v>
      </c>
      <c r="C72" s="2" t="s">
        <v>411</v>
      </c>
      <c r="D72" s="2" t="n">
        <v>2026</v>
      </c>
      <c r="E72" s="2" t="s">
        <v>12</v>
      </c>
      <c r="F72" s="2" t="s">
        <v>82</v>
      </c>
      <c r="G72" s="2" t="s">
        <v>1592</v>
      </c>
      <c r="H72" s="2" t="s">
        <v>83</v>
      </c>
      <c r="I72" s="2" t="n">
        <v>0</v>
      </c>
    </row>
    <row r="73" customFormat="false" ht="15" hidden="false" customHeight="false" outlineLevel="0" collapsed="false">
      <c r="A73" s="2" t="s">
        <v>1742</v>
      </c>
      <c r="B73" s="2" t="s">
        <v>1743</v>
      </c>
      <c r="C73" s="2" t="s">
        <v>411</v>
      </c>
      <c r="D73" s="2" t="n">
        <v>2026</v>
      </c>
      <c r="E73" s="2" t="s">
        <v>12</v>
      </c>
      <c r="F73" s="2" t="s">
        <v>13</v>
      </c>
      <c r="G73" s="2" t="s">
        <v>1592</v>
      </c>
      <c r="H73" s="2" t="s">
        <v>15</v>
      </c>
      <c r="I73" s="2" t="n">
        <v>0</v>
      </c>
    </row>
    <row r="74" customFormat="false" ht="15" hidden="false" customHeight="false" outlineLevel="0" collapsed="false">
      <c r="A74" s="2" t="s">
        <v>1744</v>
      </c>
      <c r="B74" s="2" t="s">
        <v>1600</v>
      </c>
      <c r="C74" s="2" t="s">
        <v>424</v>
      </c>
      <c r="D74" s="2" t="n">
        <v>2026</v>
      </c>
      <c r="E74" s="2" t="s">
        <v>12</v>
      </c>
      <c r="F74" s="2" t="s">
        <v>64</v>
      </c>
      <c r="G74" s="2" t="s">
        <v>1592</v>
      </c>
      <c r="H74" s="2" t="s">
        <v>65</v>
      </c>
      <c r="I74" s="2" t="n">
        <v>0</v>
      </c>
    </row>
    <row r="75" customFormat="false" ht="15" hidden="false" customHeight="false" outlineLevel="0" collapsed="false">
      <c r="A75" s="2" t="s">
        <v>1745</v>
      </c>
      <c r="B75" s="2" t="s">
        <v>1746</v>
      </c>
      <c r="C75" s="2" t="s">
        <v>435</v>
      </c>
      <c r="D75" s="2" t="n">
        <v>2026</v>
      </c>
      <c r="E75" s="2" t="s">
        <v>12</v>
      </c>
      <c r="F75" s="2" t="s">
        <v>26</v>
      </c>
      <c r="G75" s="2" t="s">
        <v>1592</v>
      </c>
      <c r="H75" s="2" t="s">
        <v>28</v>
      </c>
      <c r="I75" s="2" t="n">
        <v>0</v>
      </c>
    </row>
    <row r="76" customFormat="false" ht="15" hidden="false" customHeight="false" outlineLevel="0" collapsed="false">
      <c r="A76" s="2" t="s">
        <v>1747</v>
      </c>
      <c r="B76" s="2" t="s">
        <v>1748</v>
      </c>
      <c r="C76" s="2" t="s">
        <v>438</v>
      </c>
      <c r="D76" s="2" t="n">
        <v>2026</v>
      </c>
      <c r="E76" s="2" t="s">
        <v>46</v>
      </c>
      <c r="F76" s="2" t="s">
        <v>26</v>
      </c>
      <c r="G76" s="2" t="s">
        <v>1592</v>
      </c>
      <c r="H76" s="2" t="s">
        <v>28</v>
      </c>
      <c r="I76" s="2" t="n">
        <v>0</v>
      </c>
    </row>
    <row r="77" customFormat="false" ht="15" hidden="false" customHeight="false" outlineLevel="0" collapsed="false">
      <c r="A77" s="2" t="s">
        <v>1749</v>
      </c>
      <c r="B77" s="2" t="s">
        <v>1750</v>
      </c>
      <c r="C77" s="2" t="s">
        <v>1751</v>
      </c>
      <c r="D77" s="2" t="n">
        <v>2026</v>
      </c>
      <c r="E77" s="2" t="s">
        <v>12</v>
      </c>
      <c r="F77" s="2" t="s">
        <v>82</v>
      </c>
      <c r="G77" s="2" t="s">
        <v>1592</v>
      </c>
      <c r="H77" s="2" t="s">
        <v>83</v>
      </c>
      <c r="I77" s="2" t="n">
        <v>0</v>
      </c>
    </row>
    <row r="78" customFormat="false" ht="15" hidden="false" customHeight="false" outlineLevel="0" collapsed="false">
      <c r="A78" s="2" t="s">
        <v>1752</v>
      </c>
      <c r="B78" s="2" t="s">
        <v>1753</v>
      </c>
      <c r="C78" s="2" t="s">
        <v>1751</v>
      </c>
      <c r="D78" s="2" t="n">
        <v>2026</v>
      </c>
      <c r="E78" s="2" t="s">
        <v>12</v>
      </c>
      <c r="F78" s="2" t="s">
        <v>82</v>
      </c>
      <c r="G78" s="2" t="s">
        <v>1592</v>
      </c>
      <c r="H78" s="2" t="s">
        <v>83</v>
      </c>
      <c r="I78" s="2" t="n">
        <v>0</v>
      </c>
    </row>
    <row r="79" customFormat="false" ht="15" hidden="false" customHeight="false" outlineLevel="0" collapsed="false">
      <c r="A79" s="2" t="s">
        <v>1754</v>
      </c>
      <c r="B79" s="2" t="s">
        <v>1755</v>
      </c>
      <c r="C79" s="2" t="s">
        <v>1751</v>
      </c>
      <c r="D79" s="2" t="n">
        <v>2026</v>
      </c>
      <c r="E79" s="2" t="s">
        <v>12</v>
      </c>
      <c r="F79" s="2" t="s">
        <v>26</v>
      </c>
      <c r="G79" s="2" t="s">
        <v>1592</v>
      </c>
      <c r="H79" s="2" t="s">
        <v>28</v>
      </c>
      <c r="I79" s="2" t="n">
        <v>2</v>
      </c>
    </row>
    <row r="80" customFormat="false" ht="15" hidden="false" customHeight="false" outlineLevel="0" collapsed="false">
      <c r="A80" s="2" t="s">
        <v>1756</v>
      </c>
      <c r="B80" s="2" t="s">
        <v>1757</v>
      </c>
      <c r="C80" s="2" t="s">
        <v>441</v>
      </c>
      <c r="D80" s="2" t="n">
        <v>2026</v>
      </c>
      <c r="E80" s="2" t="s">
        <v>12</v>
      </c>
      <c r="F80" s="2" t="s">
        <v>13</v>
      </c>
      <c r="G80" s="2" t="s">
        <v>1592</v>
      </c>
      <c r="H80" s="2" t="s">
        <v>15</v>
      </c>
      <c r="I80" s="2" t="n">
        <v>0</v>
      </c>
    </row>
    <row r="81" customFormat="false" ht="15" hidden="false" customHeight="false" outlineLevel="0" collapsed="false">
      <c r="A81" s="2" t="s">
        <v>1758</v>
      </c>
      <c r="B81" s="2" t="s">
        <v>1759</v>
      </c>
      <c r="C81" s="2" t="s">
        <v>441</v>
      </c>
      <c r="D81" s="2" t="n">
        <v>2026</v>
      </c>
      <c r="E81" s="2" t="s">
        <v>12</v>
      </c>
      <c r="F81" s="2" t="s">
        <v>82</v>
      </c>
      <c r="G81" s="2" t="s">
        <v>1592</v>
      </c>
      <c r="H81" s="2" t="s">
        <v>83</v>
      </c>
      <c r="I81" s="2" t="n">
        <v>0</v>
      </c>
    </row>
    <row r="82" customFormat="false" ht="15" hidden="false" customHeight="false" outlineLevel="0" collapsed="false">
      <c r="A82" s="2" t="s">
        <v>1760</v>
      </c>
      <c r="B82" s="2" t="s">
        <v>1761</v>
      </c>
      <c r="C82" s="2" t="s">
        <v>441</v>
      </c>
      <c r="D82" s="2" t="n">
        <v>2026</v>
      </c>
      <c r="E82" s="2" t="s">
        <v>12</v>
      </c>
      <c r="F82" s="2" t="s">
        <v>13</v>
      </c>
      <c r="G82" s="2" t="s">
        <v>1592</v>
      </c>
      <c r="H82" s="2" t="s">
        <v>15</v>
      </c>
      <c r="I82" s="2" t="n">
        <v>0</v>
      </c>
    </row>
    <row r="83" customFormat="false" ht="15" hidden="false" customHeight="false" outlineLevel="0" collapsed="false">
      <c r="A83" s="2" t="s">
        <v>1762</v>
      </c>
      <c r="B83" s="2" t="s">
        <v>1763</v>
      </c>
      <c r="C83" s="2" t="s">
        <v>441</v>
      </c>
      <c r="D83" s="2" t="n">
        <v>2026</v>
      </c>
      <c r="E83" s="2" t="s">
        <v>12</v>
      </c>
      <c r="F83" s="2" t="s">
        <v>146</v>
      </c>
      <c r="G83" s="2" t="s">
        <v>1592</v>
      </c>
      <c r="H83" s="2" t="s">
        <v>147</v>
      </c>
      <c r="I83" s="2" t="n">
        <v>0</v>
      </c>
    </row>
    <row r="84" customFormat="false" ht="15" hidden="false" customHeight="false" outlineLevel="0" collapsed="false">
      <c r="A84" s="2" t="s">
        <v>1764</v>
      </c>
      <c r="B84" s="2" t="s">
        <v>1765</v>
      </c>
      <c r="C84" s="2" t="s">
        <v>441</v>
      </c>
      <c r="D84" s="2" t="n">
        <v>2026</v>
      </c>
      <c r="E84" s="2" t="s">
        <v>12</v>
      </c>
      <c r="F84" s="2" t="s">
        <v>13</v>
      </c>
      <c r="G84" s="2" t="s">
        <v>1592</v>
      </c>
      <c r="H84" s="2" t="s">
        <v>15</v>
      </c>
      <c r="I84" s="2" t="n">
        <v>0</v>
      </c>
    </row>
    <row r="85" customFormat="false" ht="15" hidden="false" customHeight="false" outlineLevel="0" collapsed="false">
      <c r="A85" s="2" t="s">
        <v>1766</v>
      </c>
      <c r="B85" s="2" t="s">
        <v>1767</v>
      </c>
      <c r="C85" s="2" t="s">
        <v>459</v>
      </c>
      <c r="D85" s="2" t="n">
        <v>2026</v>
      </c>
      <c r="E85" s="2" t="s">
        <v>12</v>
      </c>
      <c r="F85" s="2" t="s">
        <v>64</v>
      </c>
      <c r="G85" s="2" t="s">
        <v>1592</v>
      </c>
      <c r="H85" s="2" t="s">
        <v>65</v>
      </c>
      <c r="I85" s="2" t="n">
        <v>0</v>
      </c>
    </row>
    <row r="86" customFormat="false" ht="15" hidden="false" customHeight="false" outlineLevel="0" collapsed="false">
      <c r="A86" s="2" t="s">
        <v>1768</v>
      </c>
      <c r="B86" s="2" t="s">
        <v>1769</v>
      </c>
      <c r="C86" s="2" t="s">
        <v>459</v>
      </c>
      <c r="D86" s="2" t="n">
        <v>2026</v>
      </c>
      <c r="E86" s="2" t="s">
        <v>12</v>
      </c>
      <c r="F86" s="2" t="s">
        <v>26</v>
      </c>
      <c r="G86" s="2" t="s">
        <v>1592</v>
      </c>
      <c r="H86" s="2" t="s">
        <v>28</v>
      </c>
      <c r="I86" s="2" t="n">
        <v>0</v>
      </c>
    </row>
    <row r="87" customFormat="false" ht="15" hidden="false" customHeight="false" outlineLevel="0" collapsed="false">
      <c r="A87" s="2" t="s">
        <v>1770</v>
      </c>
      <c r="B87" s="2" t="s">
        <v>1771</v>
      </c>
      <c r="C87" s="2" t="s">
        <v>464</v>
      </c>
      <c r="D87" s="2" t="n">
        <v>2026</v>
      </c>
      <c r="E87" s="2" t="s">
        <v>12</v>
      </c>
      <c r="F87" s="2" t="s">
        <v>72</v>
      </c>
      <c r="G87" s="2" t="s">
        <v>1592</v>
      </c>
      <c r="H87" s="2" t="s">
        <v>74</v>
      </c>
      <c r="I87" s="2" t="n">
        <v>0</v>
      </c>
    </row>
    <row r="88" customFormat="false" ht="15" hidden="false" customHeight="false" outlineLevel="0" collapsed="false">
      <c r="A88" s="2" t="s">
        <v>1772</v>
      </c>
      <c r="B88" s="2" t="s">
        <v>1773</v>
      </c>
      <c r="C88" s="2" t="s">
        <v>464</v>
      </c>
      <c r="D88" s="2" t="n">
        <v>2026</v>
      </c>
      <c r="E88" s="2" t="s">
        <v>12</v>
      </c>
      <c r="F88" s="2" t="s">
        <v>13</v>
      </c>
      <c r="G88" s="2" t="s">
        <v>1592</v>
      </c>
      <c r="H88" s="2" t="s">
        <v>15</v>
      </c>
      <c r="I88" s="2" t="n">
        <v>0</v>
      </c>
    </row>
    <row r="89" customFormat="false" ht="15" hidden="false" customHeight="false" outlineLevel="0" collapsed="false">
      <c r="A89" s="2" t="s">
        <v>1774</v>
      </c>
      <c r="B89" s="2" t="s">
        <v>1775</v>
      </c>
      <c r="C89" s="2" t="s">
        <v>464</v>
      </c>
      <c r="D89" s="2" t="n">
        <v>2026</v>
      </c>
      <c r="E89" s="2" t="s">
        <v>12</v>
      </c>
      <c r="F89" s="2" t="s">
        <v>13</v>
      </c>
      <c r="G89" s="2" t="s">
        <v>1592</v>
      </c>
      <c r="H89" s="2" t="s">
        <v>15</v>
      </c>
      <c r="I89" s="2" t="n">
        <v>0</v>
      </c>
    </row>
    <row r="90" customFormat="false" ht="15" hidden="false" customHeight="false" outlineLevel="0" collapsed="false">
      <c r="A90" s="2" t="s">
        <v>1776</v>
      </c>
      <c r="B90" s="2" t="s">
        <v>1777</v>
      </c>
      <c r="C90" s="2" t="s">
        <v>475</v>
      </c>
      <c r="D90" s="2" t="n">
        <v>2026</v>
      </c>
      <c r="E90" s="2" t="s">
        <v>12</v>
      </c>
      <c r="F90" s="2" t="s">
        <v>26</v>
      </c>
      <c r="G90" s="2" t="s">
        <v>1592</v>
      </c>
      <c r="H90" s="2" t="s">
        <v>28</v>
      </c>
      <c r="I90" s="2" t="n">
        <v>0</v>
      </c>
    </row>
    <row r="91" customFormat="false" ht="15" hidden="false" customHeight="false" outlineLevel="0" collapsed="false">
      <c r="A91" s="2" t="s">
        <v>1778</v>
      </c>
      <c r="B91" s="2" t="s">
        <v>1779</v>
      </c>
      <c r="C91" s="2" t="s">
        <v>480</v>
      </c>
      <c r="D91" s="2" t="n">
        <v>2026</v>
      </c>
      <c r="E91" s="2" t="s">
        <v>12</v>
      </c>
      <c r="F91" s="2" t="s">
        <v>26</v>
      </c>
      <c r="G91" s="2" t="s">
        <v>1592</v>
      </c>
      <c r="H91" s="2" t="s">
        <v>28</v>
      </c>
      <c r="I91" s="2" t="n">
        <v>0</v>
      </c>
    </row>
    <row r="92" customFormat="false" ht="15" hidden="false" customHeight="false" outlineLevel="0" collapsed="false">
      <c r="A92" s="2" t="s">
        <v>1780</v>
      </c>
      <c r="B92" s="2" t="s">
        <v>1781</v>
      </c>
      <c r="C92" s="2" t="s">
        <v>480</v>
      </c>
      <c r="D92" s="2" t="n">
        <v>2026</v>
      </c>
      <c r="E92" s="2" t="s">
        <v>12</v>
      </c>
      <c r="F92" s="2" t="s">
        <v>72</v>
      </c>
      <c r="G92" s="2" t="s">
        <v>1592</v>
      </c>
      <c r="H92" s="2" t="s">
        <v>74</v>
      </c>
      <c r="I92" s="2" t="n">
        <v>0</v>
      </c>
    </row>
    <row r="93" customFormat="false" ht="15" hidden="false" customHeight="false" outlineLevel="0" collapsed="false">
      <c r="A93" s="2" t="s">
        <v>1782</v>
      </c>
      <c r="B93" s="2" t="s">
        <v>1783</v>
      </c>
      <c r="C93" s="2" t="s">
        <v>480</v>
      </c>
      <c r="D93" s="2" t="n">
        <v>2026</v>
      </c>
      <c r="E93" s="2" t="s">
        <v>12</v>
      </c>
      <c r="F93" s="2" t="s">
        <v>13</v>
      </c>
      <c r="G93" s="2" t="s">
        <v>1592</v>
      </c>
      <c r="H93" s="2" t="s">
        <v>15</v>
      </c>
      <c r="I93" s="2" t="n">
        <v>0</v>
      </c>
    </row>
    <row r="94" customFormat="false" ht="15" hidden="false" customHeight="false" outlineLevel="0" collapsed="false">
      <c r="A94" s="2" t="s">
        <v>1784</v>
      </c>
      <c r="B94" s="2" t="s">
        <v>1785</v>
      </c>
      <c r="C94" s="2" t="s">
        <v>494</v>
      </c>
      <c r="D94" s="2" t="n">
        <v>2026</v>
      </c>
      <c r="E94" s="2" t="s">
        <v>12</v>
      </c>
      <c r="F94" s="2" t="s">
        <v>82</v>
      </c>
      <c r="G94" s="2" t="s">
        <v>1592</v>
      </c>
      <c r="H94" s="2" t="s">
        <v>83</v>
      </c>
      <c r="I94" s="2" t="n">
        <v>0</v>
      </c>
    </row>
    <row r="95" customFormat="false" ht="15" hidden="false" customHeight="false" outlineLevel="0" collapsed="false">
      <c r="A95" s="2" t="s">
        <v>1786</v>
      </c>
      <c r="B95" s="2" t="s">
        <v>1787</v>
      </c>
      <c r="C95" s="2" t="s">
        <v>501</v>
      </c>
      <c r="D95" s="2" t="n">
        <v>2026</v>
      </c>
      <c r="E95" s="2" t="s">
        <v>60</v>
      </c>
      <c r="F95" s="2" t="s">
        <v>314</v>
      </c>
      <c r="G95" s="2" t="s">
        <v>1592</v>
      </c>
      <c r="H95" s="2" t="s">
        <v>700</v>
      </c>
      <c r="I95" s="2" t="n">
        <v>0</v>
      </c>
    </row>
    <row r="96" customFormat="false" ht="15" hidden="false" customHeight="false" outlineLevel="0" collapsed="false">
      <c r="A96" s="2" t="s">
        <v>1788</v>
      </c>
      <c r="B96" s="2" t="s">
        <v>1789</v>
      </c>
      <c r="C96" s="2" t="s">
        <v>506</v>
      </c>
      <c r="D96" s="2" t="n">
        <v>2026</v>
      </c>
      <c r="E96" s="2" t="s">
        <v>12</v>
      </c>
      <c r="F96" s="2" t="s">
        <v>64</v>
      </c>
      <c r="G96" s="2" t="s">
        <v>1592</v>
      </c>
      <c r="H96" s="2" t="s">
        <v>65</v>
      </c>
      <c r="I96" s="2" t="n">
        <v>1</v>
      </c>
    </row>
    <row r="97" customFormat="false" ht="15" hidden="false" customHeight="false" outlineLevel="0" collapsed="false">
      <c r="A97" s="2" t="s">
        <v>1790</v>
      </c>
      <c r="B97" s="2" t="s">
        <v>1791</v>
      </c>
      <c r="C97" s="2" t="s">
        <v>517</v>
      </c>
      <c r="D97" s="2" t="n">
        <v>2026</v>
      </c>
      <c r="E97" s="2" t="s">
        <v>46</v>
      </c>
      <c r="F97" s="2" t="s">
        <v>26</v>
      </c>
      <c r="G97" s="2" t="s">
        <v>1592</v>
      </c>
      <c r="H97" s="2" t="s">
        <v>28</v>
      </c>
      <c r="I97" s="2" t="n">
        <v>0</v>
      </c>
    </row>
    <row r="98" customFormat="false" ht="15" hidden="false" customHeight="false" outlineLevel="0" collapsed="false">
      <c r="A98" s="2" t="s">
        <v>1792</v>
      </c>
      <c r="B98" s="2" t="s">
        <v>1793</v>
      </c>
      <c r="C98" s="2" t="s">
        <v>517</v>
      </c>
      <c r="D98" s="2" t="n">
        <v>2026</v>
      </c>
      <c r="E98" s="2" t="s">
        <v>46</v>
      </c>
      <c r="F98" s="2" t="s">
        <v>26</v>
      </c>
      <c r="G98" s="2" t="s">
        <v>1592</v>
      </c>
      <c r="H98" s="2" t="s">
        <v>28</v>
      </c>
      <c r="I98" s="2" t="n">
        <v>0</v>
      </c>
    </row>
    <row r="99" customFormat="false" ht="15" hidden="false" customHeight="false" outlineLevel="0" collapsed="false">
      <c r="A99" s="2" t="s">
        <v>1794</v>
      </c>
      <c r="B99" s="2" t="s">
        <v>1795</v>
      </c>
      <c r="C99" s="2" t="s">
        <v>517</v>
      </c>
      <c r="D99" s="2" t="n">
        <v>2026</v>
      </c>
      <c r="E99" s="2" t="s">
        <v>46</v>
      </c>
      <c r="F99" s="2" t="s">
        <v>26</v>
      </c>
      <c r="G99" s="2" t="s">
        <v>1592</v>
      </c>
      <c r="H99" s="2" t="s">
        <v>28</v>
      </c>
      <c r="I99" s="2" t="n">
        <v>0</v>
      </c>
    </row>
    <row r="100" customFormat="false" ht="15" hidden="false" customHeight="false" outlineLevel="0" collapsed="false">
      <c r="A100" s="2" t="s">
        <v>1796</v>
      </c>
      <c r="B100" s="2" t="s">
        <v>1797</v>
      </c>
      <c r="C100" s="2" t="s">
        <v>1798</v>
      </c>
      <c r="D100" s="2" t="n">
        <v>2026</v>
      </c>
      <c r="E100" s="2" t="s">
        <v>432</v>
      </c>
      <c r="F100" s="2" t="s">
        <v>26</v>
      </c>
      <c r="G100" s="2" t="s">
        <v>1592</v>
      </c>
      <c r="H100" s="2" t="s">
        <v>28</v>
      </c>
      <c r="I100" s="2" t="n">
        <v>0</v>
      </c>
    </row>
    <row r="101" customFormat="false" ht="15" hidden="false" customHeight="false" outlineLevel="0" collapsed="false">
      <c r="A101" s="2" t="s">
        <v>1799</v>
      </c>
      <c r="B101" s="2" t="s">
        <v>1800</v>
      </c>
      <c r="C101" s="2" t="s">
        <v>1801</v>
      </c>
      <c r="D101" s="2" t="n">
        <v>2026</v>
      </c>
      <c r="E101" s="2" t="s">
        <v>710</v>
      </c>
      <c r="F101" s="2" t="s">
        <v>41</v>
      </c>
      <c r="G101" s="2" t="s">
        <v>1592</v>
      </c>
      <c r="H101" s="2" t="s">
        <v>42</v>
      </c>
      <c r="I101" s="2" t="n">
        <v>0</v>
      </c>
    </row>
    <row r="102" customFormat="false" ht="15" hidden="false" customHeight="false" outlineLevel="0" collapsed="false">
      <c r="A102" s="2" t="s">
        <v>1802</v>
      </c>
      <c r="B102" s="2" t="s">
        <v>1803</v>
      </c>
      <c r="C102" s="2" t="s">
        <v>527</v>
      </c>
      <c r="D102" s="2" t="n">
        <v>2026</v>
      </c>
      <c r="E102" s="2" t="s">
        <v>1247</v>
      </c>
      <c r="F102" s="2" t="s">
        <v>64</v>
      </c>
      <c r="G102" s="2" t="s">
        <v>1592</v>
      </c>
      <c r="H102" s="2" t="s">
        <v>1804</v>
      </c>
      <c r="I102" s="2" t="n">
        <v>0</v>
      </c>
    </row>
    <row r="103" customFormat="false" ht="15" hidden="false" customHeight="false" outlineLevel="0" collapsed="false">
      <c r="A103" s="2" t="s">
        <v>1805</v>
      </c>
      <c r="B103" s="2" t="s">
        <v>1806</v>
      </c>
      <c r="C103" s="2" t="s">
        <v>545</v>
      </c>
      <c r="D103" s="2" t="n">
        <v>2026</v>
      </c>
      <c r="E103" s="2" t="s">
        <v>12</v>
      </c>
      <c r="F103" s="2" t="s">
        <v>13</v>
      </c>
      <c r="G103" s="2" t="s">
        <v>1592</v>
      </c>
      <c r="H103" s="2" t="s">
        <v>15</v>
      </c>
      <c r="I103" s="2" t="n">
        <v>0</v>
      </c>
    </row>
    <row r="104" customFormat="false" ht="15" hidden="false" customHeight="false" outlineLevel="0" collapsed="false">
      <c r="A104" s="2" t="s">
        <v>1807</v>
      </c>
      <c r="B104" s="2" t="s">
        <v>1808</v>
      </c>
      <c r="C104" s="2" t="s">
        <v>545</v>
      </c>
      <c r="D104" s="2" t="n">
        <v>2026</v>
      </c>
      <c r="E104" s="2" t="s">
        <v>12</v>
      </c>
      <c r="F104" s="2" t="s">
        <v>64</v>
      </c>
      <c r="G104" s="2" t="s">
        <v>1592</v>
      </c>
      <c r="H104" s="2" t="s">
        <v>65</v>
      </c>
      <c r="I104" s="2" t="n">
        <v>0</v>
      </c>
    </row>
    <row r="105" customFormat="false" ht="15" hidden="false" customHeight="false" outlineLevel="0" collapsed="false">
      <c r="A105" s="2" t="s">
        <v>1809</v>
      </c>
      <c r="B105" s="2" t="s">
        <v>1810</v>
      </c>
      <c r="C105" s="2" t="s">
        <v>559</v>
      </c>
      <c r="D105" s="2" t="n">
        <v>2026</v>
      </c>
      <c r="E105" s="2" t="s">
        <v>12</v>
      </c>
      <c r="F105" s="2" t="s">
        <v>64</v>
      </c>
      <c r="G105" s="2" t="s">
        <v>1592</v>
      </c>
      <c r="H105" s="2" t="s">
        <v>65</v>
      </c>
      <c r="I105" s="2" t="n">
        <v>0</v>
      </c>
    </row>
    <row r="106" customFormat="false" ht="15" hidden="false" customHeight="false" outlineLevel="0" collapsed="false">
      <c r="A106" s="2" t="s">
        <v>1811</v>
      </c>
      <c r="B106" s="2" t="s">
        <v>1812</v>
      </c>
      <c r="C106" s="2" t="s">
        <v>568</v>
      </c>
      <c r="D106" s="2" t="n">
        <v>2026</v>
      </c>
      <c r="E106" s="2" t="s">
        <v>12</v>
      </c>
      <c r="F106" s="2" t="s">
        <v>64</v>
      </c>
      <c r="G106" s="2" t="s">
        <v>1592</v>
      </c>
      <c r="H106" s="2" t="s">
        <v>65</v>
      </c>
      <c r="I106" s="2" t="n">
        <v>0</v>
      </c>
    </row>
    <row r="107" customFormat="false" ht="15" hidden="false" customHeight="false" outlineLevel="0" collapsed="false">
      <c r="A107" s="2" t="s">
        <v>1813</v>
      </c>
      <c r="B107" s="2" t="s">
        <v>1814</v>
      </c>
      <c r="C107" s="2" t="s">
        <v>568</v>
      </c>
      <c r="D107" s="2" t="n">
        <v>2026</v>
      </c>
      <c r="E107" s="2" t="s">
        <v>12</v>
      </c>
      <c r="F107" s="2" t="s">
        <v>26</v>
      </c>
      <c r="G107" s="2" t="s">
        <v>1592</v>
      </c>
      <c r="H107" s="2" t="s">
        <v>28</v>
      </c>
      <c r="I107" s="2" t="n">
        <v>1</v>
      </c>
    </row>
    <row r="108" customFormat="false" ht="15" hidden="false" customHeight="false" outlineLevel="0" collapsed="false">
      <c r="A108" s="2" t="s">
        <v>1815</v>
      </c>
      <c r="B108" s="2" t="s">
        <v>1816</v>
      </c>
      <c r="C108" s="2" t="s">
        <v>575</v>
      </c>
      <c r="D108" s="2" t="n">
        <v>2026</v>
      </c>
      <c r="E108" s="2" t="s">
        <v>46</v>
      </c>
      <c r="F108" s="2" t="s">
        <v>26</v>
      </c>
      <c r="G108" s="2" t="s">
        <v>1592</v>
      </c>
      <c r="H108" s="2" t="s">
        <v>28</v>
      </c>
      <c r="I108" s="2" t="n">
        <v>0</v>
      </c>
    </row>
    <row r="109" customFormat="false" ht="15" hidden="false" customHeight="false" outlineLevel="0" collapsed="false">
      <c r="A109" s="2" t="s">
        <v>1817</v>
      </c>
      <c r="B109" s="2" t="s">
        <v>1818</v>
      </c>
      <c r="C109" s="2" t="s">
        <v>578</v>
      </c>
      <c r="D109" s="2" t="n">
        <v>2026</v>
      </c>
      <c r="E109" s="2" t="s">
        <v>12</v>
      </c>
      <c r="F109" s="2" t="s">
        <v>26</v>
      </c>
      <c r="G109" s="2" t="s">
        <v>1592</v>
      </c>
      <c r="H109" s="2" t="s">
        <v>28</v>
      </c>
      <c r="I109" s="2" t="n">
        <v>1</v>
      </c>
    </row>
    <row r="110" customFormat="false" ht="15" hidden="false" customHeight="false" outlineLevel="0" collapsed="false">
      <c r="A110" s="2" t="s">
        <v>1819</v>
      </c>
      <c r="B110" s="2" t="s">
        <v>1820</v>
      </c>
      <c r="C110" s="2" t="s">
        <v>1821</v>
      </c>
      <c r="D110" s="2" t="n">
        <v>2026</v>
      </c>
      <c r="E110" s="2" t="s">
        <v>12</v>
      </c>
      <c r="F110" s="2" t="s">
        <v>13</v>
      </c>
      <c r="G110" s="2" t="s">
        <v>1592</v>
      </c>
      <c r="H110" s="2" t="s">
        <v>15</v>
      </c>
      <c r="I110" s="2" t="n">
        <v>0</v>
      </c>
    </row>
    <row r="111" customFormat="false" ht="15" hidden="false" customHeight="false" outlineLevel="0" collapsed="false">
      <c r="A111" s="2" t="s">
        <v>1822</v>
      </c>
      <c r="B111" s="2" t="s">
        <v>1823</v>
      </c>
      <c r="C111" s="2" t="s">
        <v>1824</v>
      </c>
      <c r="D111" s="2" t="n">
        <v>2026</v>
      </c>
      <c r="E111" s="2" t="s">
        <v>46</v>
      </c>
      <c r="F111" s="2" t="s">
        <v>13</v>
      </c>
      <c r="G111" s="2" t="s">
        <v>1592</v>
      </c>
      <c r="H111" s="2" t="s">
        <v>15</v>
      </c>
      <c r="I111" s="2" t="n">
        <v>0</v>
      </c>
    </row>
    <row r="112" customFormat="false" ht="15" hidden="false" customHeight="false" outlineLevel="0" collapsed="false">
      <c r="A112" s="2" t="s">
        <v>1825</v>
      </c>
      <c r="B112" s="2" t="s">
        <v>1826</v>
      </c>
      <c r="C112" s="2" t="s">
        <v>1824</v>
      </c>
      <c r="D112" s="2" t="n">
        <v>2026</v>
      </c>
      <c r="E112" s="2" t="s">
        <v>46</v>
      </c>
      <c r="F112" s="2" t="s">
        <v>26</v>
      </c>
      <c r="G112" s="2" t="s">
        <v>1592</v>
      </c>
      <c r="H112" s="2" t="s">
        <v>28</v>
      </c>
      <c r="I112" s="2" t="n">
        <v>0</v>
      </c>
    </row>
    <row r="113" customFormat="false" ht="15" hidden="false" customHeight="false" outlineLevel="0" collapsed="false">
      <c r="A113" s="2" t="s">
        <v>1827</v>
      </c>
      <c r="B113" s="2" t="s">
        <v>1828</v>
      </c>
      <c r="C113" s="2" t="s">
        <v>583</v>
      </c>
      <c r="D113" s="2" t="n">
        <v>2026</v>
      </c>
      <c r="E113" s="2" t="s">
        <v>12</v>
      </c>
      <c r="F113" s="2" t="s">
        <v>64</v>
      </c>
      <c r="G113" s="2" t="s">
        <v>1592</v>
      </c>
      <c r="H113" s="2" t="s">
        <v>65</v>
      </c>
      <c r="I113" s="2" t="n">
        <v>0</v>
      </c>
    </row>
    <row r="114" customFormat="false" ht="15" hidden="false" customHeight="false" outlineLevel="0" collapsed="false">
      <c r="A114" s="2" t="s">
        <v>1829</v>
      </c>
      <c r="B114" s="2" t="s">
        <v>1830</v>
      </c>
      <c r="C114" s="2" t="s">
        <v>1831</v>
      </c>
      <c r="D114" s="2" t="n">
        <v>2026</v>
      </c>
      <c r="E114" s="2" t="s">
        <v>40</v>
      </c>
      <c r="F114" s="2" t="s">
        <v>26</v>
      </c>
      <c r="G114" s="2" t="s">
        <v>1592</v>
      </c>
      <c r="H114" s="2" t="s">
        <v>28</v>
      </c>
      <c r="I114" s="2" t="n">
        <v>0</v>
      </c>
    </row>
    <row r="115" customFormat="false" ht="15" hidden="false" customHeight="false" outlineLevel="0" collapsed="false">
      <c r="A115" s="2" t="s">
        <v>1832</v>
      </c>
      <c r="B115" s="2" t="s">
        <v>1833</v>
      </c>
      <c r="C115" s="2" t="s">
        <v>1831</v>
      </c>
      <c r="D115" s="2" t="n">
        <v>2026</v>
      </c>
      <c r="E115" s="2" t="s">
        <v>40</v>
      </c>
      <c r="F115" s="2" t="s">
        <v>26</v>
      </c>
      <c r="G115" s="2" t="s">
        <v>1592</v>
      </c>
      <c r="H115" s="2" t="s">
        <v>28</v>
      </c>
      <c r="I115" s="2" t="n">
        <v>0</v>
      </c>
    </row>
    <row r="116" customFormat="false" ht="15" hidden="false" customHeight="false" outlineLevel="0" collapsed="false">
      <c r="A116" s="2" t="s">
        <v>1834</v>
      </c>
      <c r="B116" s="2" t="s">
        <v>1835</v>
      </c>
      <c r="C116" s="2" t="s">
        <v>1831</v>
      </c>
      <c r="D116" s="2" t="n">
        <v>2026</v>
      </c>
      <c r="E116" s="2" t="s">
        <v>432</v>
      </c>
      <c r="F116" s="2" t="s">
        <v>1836</v>
      </c>
      <c r="G116" s="2" t="s">
        <v>1592</v>
      </c>
      <c r="H116" s="2" t="s">
        <v>1837</v>
      </c>
      <c r="I116" s="2" t="n">
        <v>0</v>
      </c>
    </row>
    <row r="117" customFormat="false" ht="15" hidden="false" customHeight="false" outlineLevel="0" collapsed="false">
      <c r="A117" s="2" t="s">
        <v>1838</v>
      </c>
      <c r="B117" s="2" t="s">
        <v>1839</v>
      </c>
      <c r="C117" s="2" t="s">
        <v>588</v>
      </c>
      <c r="D117" s="2" t="n">
        <v>2026</v>
      </c>
      <c r="E117" s="2" t="s">
        <v>12</v>
      </c>
      <c r="F117" s="2" t="s">
        <v>13</v>
      </c>
      <c r="G117" s="2" t="s">
        <v>1592</v>
      </c>
      <c r="H117" s="2" t="s">
        <v>15</v>
      </c>
      <c r="I117" s="2" t="n">
        <v>0</v>
      </c>
    </row>
    <row r="118" customFormat="false" ht="15" hidden="false" customHeight="false" outlineLevel="0" collapsed="false">
      <c r="A118" s="2" t="s">
        <v>1840</v>
      </c>
      <c r="B118" s="2" t="s">
        <v>1841</v>
      </c>
      <c r="C118" s="2" t="s">
        <v>610</v>
      </c>
      <c r="D118" s="2" t="n">
        <v>2025</v>
      </c>
      <c r="E118" s="2" t="s">
        <v>12</v>
      </c>
      <c r="F118" s="2" t="s">
        <v>13</v>
      </c>
      <c r="G118" s="2" t="s">
        <v>1592</v>
      </c>
      <c r="H118" s="2" t="s">
        <v>15</v>
      </c>
      <c r="I118" s="2" t="n">
        <v>0</v>
      </c>
    </row>
    <row r="119" customFormat="false" ht="15" hidden="false" customHeight="false" outlineLevel="0" collapsed="false">
      <c r="A119" s="2" t="s">
        <v>1842</v>
      </c>
      <c r="B119" s="2" t="s">
        <v>1843</v>
      </c>
      <c r="C119" s="2" t="s">
        <v>610</v>
      </c>
      <c r="D119" s="2" t="n">
        <v>2025</v>
      </c>
      <c r="E119" s="2" t="s">
        <v>12</v>
      </c>
      <c r="F119" s="2" t="s">
        <v>26</v>
      </c>
      <c r="G119" s="2" t="s">
        <v>1592</v>
      </c>
      <c r="H119" s="2" t="s">
        <v>28</v>
      </c>
      <c r="I119" s="2" t="n">
        <v>0</v>
      </c>
    </row>
    <row r="120" customFormat="false" ht="15" hidden="false" customHeight="false" outlineLevel="0" collapsed="false">
      <c r="A120" s="2" t="s">
        <v>1844</v>
      </c>
      <c r="B120" s="2" t="s">
        <v>1845</v>
      </c>
      <c r="C120" s="2" t="s">
        <v>1846</v>
      </c>
      <c r="D120" s="2" t="n">
        <v>2025</v>
      </c>
      <c r="E120" s="2" t="s">
        <v>46</v>
      </c>
      <c r="F120" s="2" t="s">
        <v>82</v>
      </c>
      <c r="G120" s="2" t="s">
        <v>1592</v>
      </c>
      <c r="H120" s="2" t="s">
        <v>83</v>
      </c>
      <c r="I120" s="2" t="n">
        <v>0</v>
      </c>
    </row>
    <row r="121" customFormat="false" ht="15" hidden="false" customHeight="false" outlineLevel="0" collapsed="false">
      <c r="A121" s="2" t="s">
        <v>1847</v>
      </c>
      <c r="B121" s="2" t="s">
        <v>1848</v>
      </c>
      <c r="C121" s="2" t="s">
        <v>619</v>
      </c>
      <c r="D121" s="2" t="n">
        <v>2025</v>
      </c>
      <c r="E121" s="2" t="s">
        <v>12</v>
      </c>
      <c r="F121" s="2" t="s">
        <v>64</v>
      </c>
      <c r="G121" s="2" t="s">
        <v>1592</v>
      </c>
      <c r="H121" s="2" t="s">
        <v>65</v>
      </c>
      <c r="I121" s="2" t="n">
        <v>0</v>
      </c>
    </row>
    <row r="122" customFormat="false" ht="15" hidden="false" customHeight="false" outlineLevel="0" collapsed="false">
      <c r="A122" s="2" t="s">
        <v>1849</v>
      </c>
      <c r="B122" s="2" t="s">
        <v>1850</v>
      </c>
      <c r="C122" s="2" t="s">
        <v>626</v>
      </c>
      <c r="D122" s="2" t="n">
        <v>2025</v>
      </c>
      <c r="E122" s="2" t="s">
        <v>12</v>
      </c>
      <c r="F122" s="2" t="s">
        <v>13</v>
      </c>
      <c r="G122" s="2" t="s">
        <v>1592</v>
      </c>
      <c r="H122" s="2" t="s">
        <v>15</v>
      </c>
      <c r="I122" s="2" t="n">
        <v>1</v>
      </c>
    </row>
    <row r="123" customFormat="false" ht="15" hidden="false" customHeight="false" outlineLevel="0" collapsed="false">
      <c r="A123" s="2" t="s">
        <v>1851</v>
      </c>
      <c r="B123" s="2" t="s">
        <v>1852</v>
      </c>
      <c r="C123" s="2" t="s">
        <v>639</v>
      </c>
      <c r="D123" s="2" t="n">
        <v>2025</v>
      </c>
      <c r="E123" s="2" t="s">
        <v>12</v>
      </c>
      <c r="F123" s="2" t="s">
        <v>26</v>
      </c>
      <c r="G123" s="2" t="s">
        <v>1592</v>
      </c>
      <c r="H123" s="2" t="s">
        <v>28</v>
      </c>
      <c r="I123" s="2" t="n">
        <v>0</v>
      </c>
    </row>
    <row r="124" customFormat="false" ht="15" hidden="false" customHeight="false" outlineLevel="0" collapsed="false">
      <c r="A124" s="2" t="s">
        <v>1853</v>
      </c>
      <c r="B124" s="2" t="s">
        <v>1854</v>
      </c>
      <c r="C124" s="2" t="s">
        <v>639</v>
      </c>
      <c r="D124" s="2" t="n">
        <v>2025</v>
      </c>
      <c r="E124" s="2" t="s">
        <v>12</v>
      </c>
      <c r="F124" s="2" t="s">
        <v>26</v>
      </c>
      <c r="G124" s="2" t="s">
        <v>1592</v>
      </c>
      <c r="H124" s="2" t="s">
        <v>28</v>
      </c>
      <c r="I124" s="2" t="n">
        <v>0</v>
      </c>
    </row>
    <row r="125" customFormat="false" ht="15" hidden="false" customHeight="false" outlineLevel="0" collapsed="false">
      <c r="A125" s="2" t="s">
        <v>1855</v>
      </c>
      <c r="B125" s="2" t="s">
        <v>1856</v>
      </c>
      <c r="C125" s="2" t="s">
        <v>639</v>
      </c>
      <c r="D125" s="2" t="n">
        <v>2025</v>
      </c>
      <c r="E125" s="2" t="s">
        <v>12</v>
      </c>
      <c r="F125" s="2" t="s">
        <v>26</v>
      </c>
      <c r="G125" s="2" t="s">
        <v>1592</v>
      </c>
      <c r="H125" s="2" t="s">
        <v>28</v>
      </c>
      <c r="I125" s="2" t="n">
        <v>0</v>
      </c>
    </row>
    <row r="126" customFormat="false" ht="15" hidden="false" customHeight="false" outlineLevel="0" collapsed="false">
      <c r="A126" s="2" t="s">
        <v>1857</v>
      </c>
      <c r="B126" s="2" t="s">
        <v>1858</v>
      </c>
      <c r="C126" s="2" t="s">
        <v>656</v>
      </c>
      <c r="D126" s="2" t="n">
        <v>2025</v>
      </c>
      <c r="E126" s="2" t="s">
        <v>12</v>
      </c>
      <c r="F126" s="2" t="s">
        <v>155</v>
      </c>
      <c r="G126" s="2" t="s">
        <v>1592</v>
      </c>
      <c r="H126" s="2" t="s">
        <v>156</v>
      </c>
      <c r="I126" s="2" t="n">
        <v>0</v>
      </c>
    </row>
    <row r="127" customFormat="false" ht="15" hidden="false" customHeight="false" outlineLevel="0" collapsed="false">
      <c r="A127" s="2" t="s">
        <v>1859</v>
      </c>
      <c r="B127" s="2" t="s">
        <v>1860</v>
      </c>
      <c r="C127" s="2" t="s">
        <v>656</v>
      </c>
      <c r="D127" s="2" t="n">
        <v>2025</v>
      </c>
      <c r="E127" s="2" t="s">
        <v>12</v>
      </c>
      <c r="F127" s="2" t="s">
        <v>146</v>
      </c>
      <c r="G127" s="2" t="s">
        <v>1592</v>
      </c>
      <c r="H127" s="2" t="s">
        <v>147</v>
      </c>
      <c r="I127" s="2" t="n">
        <v>0</v>
      </c>
    </row>
    <row r="128" customFormat="false" ht="15" hidden="false" customHeight="false" outlineLevel="0" collapsed="false">
      <c r="A128" s="2" t="s">
        <v>1861</v>
      </c>
      <c r="B128" s="2" t="s">
        <v>1862</v>
      </c>
      <c r="C128" s="2" t="s">
        <v>656</v>
      </c>
      <c r="D128" s="2" t="n">
        <v>2025</v>
      </c>
      <c r="E128" s="2" t="s">
        <v>12</v>
      </c>
      <c r="F128" s="2" t="s">
        <v>146</v>
      </c>
      <c r="G128" s="2" t="s">
        <v>1592</v>
      </c>
      <c r="H128" s="2" t="s">
        <v>147</v>
      </c>
      <c r="I128" s="2" t="n">
        <v>0</v>
      </c>
    </row>
    <row r="129" customFormat="false" ht="15" hidden="false" customHeight="false" outlineLevel="0" collapsed="false">
      <c r="A129" s="2" t="s">
        <v>1863</v>
      </c>
      <c r="B129" s="2" t="s">
        <v>1864</v>
      </c>
      <c r="C129" s="2" t="s">
        <v>656</v>
      </c>
      <c r="D129" s="2" t="n">
        <v>2025</v>
      </c>
      <c r="E129" s="2" t="s">
        <v>12</v>
      </c>
      <c r="F129" s="2" t="s">
        <v>13</v>
      </c>
      <c r="G129" s="2" t="s">
        <v>1592</v>
      </c>
      <c r="H129" s="2" t="s">
        <v>15</v>
      </c>
      <c r="I129" s="2" t="n">
        <v>0</v>
      </c>
    </row>
    <row r="130" customFormat="false" ht="15" hidden="false" customHeight="false" outlineLevel="0" collapsed="false">
      <c r="A130" s="2" t="s">
        <v>1865</v>
      </c>
      <c r="B130" s="2" t="s">
        <v>1866</v>
      </c>
      <c r="C130" s="2" t="s">
        <v>656</v>
      </c>
      <c r="D130" s="2" t="n">
        <v>2025</v>
      </c>
      <c r="E130" s="2" t="s">
        <v>12</v>
      </c>
      <c r="F130" s="2" t="s">
        <v>55</v>
      </c>
      <c r="G130" s="2" t="s">
        <v>1592</v>
      </c>
      <c r="H130" s="2" t="s">
        <v>56</v>
      </c>
      <c r="I130" s="2" t="n">
        <v>0</v>
      </c>
    </row>
    <row r="131" customFormat="false" ht="15" hidden="false" customHeight="false" outlineLevel="0" collapsed="false">
      <c r="A131" s="2" t="s">
        <v>1867</v>
      </c>
      <c r="B131" s="2" t="s">
        <v>1868</v>
      </c>
      <c r="C131" s="2" t="s">
        <v>1869</v>
      </c>
      <c r="D131" s="2" t="n">
        <v>2025</v>
      </c>
      <c r="E131" s="2" t="s">
        <v>60</v>
      </c>
      <c r="F131" s="2" t="s">
        <v>314</v>
      </c>
      <c r="G131" s="2" t="s">
        <v>1592</v>
      </c>
      <c r="H131" s="2" t="s">
        <v>315</v>
      </c>
      <c r="I131" s="2" t="n">
        <v>0</v>
      </c>
    </row>
    <row r="132" customFormat="false" ht="15" hidden="false" customHeight="false" outlineLevel="0" collapsed="false">
      <c r="A132" s="2" t="s">
        <v>1870</v>
      </c>
      <c r="B132" s="2" t="s">
        <v>1871</v>
      </c>
      <c r="C132" s="2" t="s">
        <v>1869</v>
      </c>
      <c r="D132" s="2" t="n">
        <v>2025</v>
      </c>
      <c r="E132" s="2" t="s">
        <v>12</v>
      </c>
      <c r="F132" s="2" t="s">
        <v>26</v>
      </c>
      <c r="G132" s="2" t="s">
        <v>1592</v>
      </c>
      <c r="H132" s="2" t="s">
        <v>28</v>
      </c>
      <c r="I132" s="2" t="n">
        <v>0</v>
      </c>
    </row>
    <row r="133" customFormat="false" ht="15" hidden="false" customHeight="false" outlineLevel="0" collapsed="false">
      <c r="A133" s="2" t="s">
        <v>1872</v>
      </c>
      <c r="B133" s="2" t="s">
        <v>1873</v>
      </c>
      <c r="C133" s="2" t="s">
        <v>681</v>
      </c>
      <c r="D133" s="2" t="n">
        <v>2025</v>
      </c>
      <c r="E133" s="2" t="s">
        <v>12</v>
      </c>
      <c r="F133" s="2" t="s">
        <v>72</v>
      </c>
      <c r="G133" s="2" t="s">
        <v>1592</v>
      </c>
      <c r="H133" s="2" t="s">
        <v>74</v>
      </c>
      <c r="I133" s="2" t="n">
        <v>1</v>
      </c>
    </row>
    <row r="134" customFormat="false" ht="15" hidden="false" customHeight="false" outlineLevel="0" collapsed="false">
      <c r="A134" s="2" t="s">
        <v>1874</v>
      </c>
      <c r="B134" s="2" t="s">
        <v>1875</v>
      </c>
      <c r="C134" s="2" t="s">
        <v>681</v>
      </c>
      <c r="D134" s="2" t="n">
        <v>2025</v>
      </c>
      <c r="E134" s="2" t="s">
        <v>12</v>
      </c>
      <c r="F134" s="2" t="s">
        <v>55</v>
      </c>
      <c r="G134" s="2" t="s">
        <v>1592</v>
      </c>
      <c r="H134" s="2" t="s">
        <v>1876</v>
      </c>
      <c r="I134" s="2" t="n">
        <v>0</v>
      </c>
    </row>
    <row r="135" customFormat="false" ht="15" hidden="false" customHeight="false" outlineLevel="0" collapsed="false">
      <c r="A135" s="2" t="s">
        <v>1877</v>
      </c>
      <c r="B135" s="2" t="s">
        <v>1878</v>
      </c>
      <c r="C135" s="2" t="s">
        <v>681</v>
      </c>
      <c r="D135" s="2" t="n">
        <v>2025</v>
      </c>
      <c r="E135" s="2" t="s">
        <v>12</v>
      </c>
      <c r="F135" s="2" t="s">
        <v>82</v>
      </c>
      <c r="G135" s="2" t="s">
        <v>1592</v>
      </c>
      <c r="H135" s="2" t="s">
        <v>83</v>
      </c>
      <c r="I135" s="2" t="n">
        <v>0</v>
      </c>
    </row>
    <row r="136" customFormat="false" ht="15" hidden="false" customHeight="false" outlineLevel="0" collapsed="false">
      <c r="A136" s="2" t="s">
        <v>1879</v>
      </c>
      <c r="B136" s="2" t="s">
        <v>1880</v>
      </c>
      <c r="C136" s="2" t="s">
        <v>681</v>
      </c>
      <c r="D136" s="2" t="n">
        <v>2025</v>
      </c>
      <c r="E136" s="2" t="s">
        <v>12</v>
      </c>
      <c r="F136" s="2" t="s">
        <v>155</v>
      </c>
      <c r="G136" s="2" t="s">
        <v>1592</v>
      </c>
      <c r="H136" s="2" t="s">
        <v>1881</v>
      </c>
      <c r="I136" s="2" t="n">
        <v>0</v>
      </c>
    </row>
    <row r="137" customFormat="false" ht="15" hidden="false" customHeight="false" outlineLevel="0" collapsed="false">
      <c r="A137" s="2" t="s">
        <v>1882</v>
      </c>
      <c r="B137" s="2" t="s">
        <v>1883</v>
      </c>
      <c r="C137" s="2" t="s">
        <v>1884</v>
      </c>
      <c r="D137" s="2" t="n">
        <v>2025</v>
      </c>
      <c r="E137" s="2" t="s">
        <v>46</v>
      </c>
      <c r="F137" s="2" t="s">
        <v>26</v>
      </c>
      <c r="G137" s="2" t="s">
        <v>1592</v>
      </c>
      <c r="H137" s="2" t="s">
        <v>28</v>
      </c>
      <c r="I137" s="2" t="n">
        <v>0</v>
      </c>
    </row>
    <row r="138" customFormat="false" ht="15" hidden="false" customHeight="false" outlineLevel="0" collapsed="false">
      <c r="A138" s="2" t="s">
        <v>1885</v>
      </c>
      <c r="B138" s="2" t="s">
        <v>1886</v>
      </c>
      <c r="C138" s="2" t="s">
        <v>1887</v>
      </c>
      <c r="D138" s="2" t="n">
        <v>2025</v>
      </c>
      <c r="E138" s="2" t="s">
        <v>432</v>
      </c>
      <c r="F138" s="2" t="s">
        <v>55</v>
      </c>
      <c r="G138" s="2" t="s">
        <v>1592</v>
      </c>
      <c r="H138" s="2" t="s">
        <v>56</v>
      </c>
      <c r="I138" s="2" t="n">
        <v>0</v>
      </c>
    </row>
    <row r="139" customFormat="false" ht="15" hidden="false" customHeight="false" outlineLevel="0" collapsed="false">
      <c r="A139" s="2" t="s">
        <v>1888</v>
      </c>
      <c r="B139" s="2" t="s">
        <v>1889</v>
      </c>
      <c r="C139" s="2" t="s">
        <v>692</v>
      </c>
      <c r="D139" s="2" t="n">
        <v>2025</v>
      </c>
      <c r="E139" s="2" t="s">
        <v>40</v>
      </c>
      <c r="F139" s="2" t="s">
        <v>26</v>
      </c>
      <c r="G139" s="2" t="s">
        <v>1592</v>
      </c>
      <c r="H139" s="2" t="s">
        <v>28</v>
      </c>
      <c r="I139" s="2" t="n">
        <v>0</v>
      </c>
    </row>
    <row r="140" customFormat="false" ht="15" hidden="false" customHeight="false" outlineLevel="0" collapsed="false">
      <c r="A140" s="2" t="s">
        <v>1890</v>
      </c>
      <c r="B140" s="2" t="s">
        <v>1891</v>
      </c>
      <c r="C140" s="2" t="s">
        <v>1892</v>
      </c>
      <c r="D140" s="2" t="n">
        <v>2025</v>
      </c>
      <c r="E140" s="2" t="s">
        <v>46</v>
      </c>
      <c r="F140" s="2" t="s">
        <v>26</v>
      </c>
      <c r="G140" s="2" t="s">
        <v>1592</v>
      </c>
      <c r="H140" s="2" t="s">
        <v>28</v>
      </c>
      <c r="I140" s="2" t="n">
        <v>0</v>
      </c>
    </row>
    <row r="141" customFormat="false" ht="15" hidden="false" customHeight="false" outlineLevel="0" collapsed="false">
      <c r="A141" s="2" t="s">
        <v>1893</v>
      </c>
      <c r="B141" s="2" t="s">
        <v>1894</v>
      </c>
      <c r="C141" s="2" t="s">
        <v>699</v>
      </c>
      <c r="D141" s="2" t="n">
        <v>2025</v>
      </c>
      <c r="E141" s="2" t="s">
        <v>12</v>
      </c>
      <c r="F141" s="2" t="s">
        <v>82</v>
      </c>
      <c r="G141" s="2" t="s">
        <v>1592</v>
      </c>
      <c r="H141" s="2" t="s">
        <v>83</v>
      </c>
      <c r="I141" s="2" t="n">
        <v>0</v>
      </c>
    </row>
    <row r="142" customFormat="false" ht="15" hidden="false" customHeight="false" outlineLevel="0" collapsed="false">
      <c r="A142" s="2" t="s">
        <v>1895</v>
      </c>
      <c r="B142" s="2" t="s">
        <v>1896</v>
      </c>
      <c r="C142" s="2" t="s">
        <v>714</v>
      </c>
      <c r="D142" s="2" t="n">
        <v>2025</v>
      </c>
      <c r="E142" s="2" t="s">
        <v>12</v>
      </c>
      <c r="F142" s="2" t="s">
        <v>55</v>
      </c>
      <c r="G142" s="2" t="s">
        <v>1592</v>
      </c>
      <c r="H142" s="2" t="s">
        <v>56</v>
      </c>
      <c r="I142" s="2" t="n">
        <v>0</v>
      </c>
    </row>
    <row r="143" customFormat="false" ht="15" hidden="false" customHeight="false" outlineLevel="0" collapsed="false">
      <c r="A143" s="2" t="s">
        <v>1897</v>
      </c>
      <c r="B143" s="2" t="s">
        <v>1898</v>
      </c>
      <c r="C143" s="2" t="s">
        <v>714</v>
      </c>
      <c r="D143" s="2" t="n">
        <v>2025</v>
      </c>
      <c r="E143" s="2" t="s">
        <v>12</v>
      </c>
      <c r="F143" s="2" t="s">
        <v>13</v>
      </c>
      <c r="G143" s="2" t="s">
        <v>1592</v>
      </c>
      <c r="H143" s="2" t="s">
        <v>15</v>
      </c>
      <c r="I143" s="2" t="n">
        <v>0</v>
      </c>
    </row>
    <row r="144" customFormat="false" ht="15" hidden="false" customHeight="false" outlineLevel="0" collapsed="false">
      <c r="A144" s="2" t="s">
        <v>1899</v>
      </c>
      <c r="B144" s="2" t="s">
        <v>1900</v>
      </c>
      <c r="C144" s="2" t="s">
        <v>725</v>
      </c>
      <c r="D144" s="2" t="n">
        <v>2025</v>
      </c>
      <c r="E144" s="2" t="s">
        <v>46</v>
      </c>
      <c r="F144" s="2" t="s">
        <v>82</v>
      </c>
      <c r="G144" s="2" t="s">
        <v>1592</v>
      </c>
      <c r="H144" s="2" t="s">
        <v>83</v>
      </c>
      <c r="I144" s="2" t="n">
        <v>0</v>
      </c>
    </row>
    <row r="145" customFormat="false" ht="15" hidden="false" customHeight="false" outlineLevel="0" collapsed="false">
      <c r="A145" s="2" t="s">
        <v>1901</v>
      </c>
      <c r="B145" s="2" t="s">
        <v>1902</v>
      </c>
      <c r="C145" s="2" t="s">
        <v>729</v>
      </c>
      <c r="D145" s="2" t="n">
        <v>2025</v>
      </c>
      <c r="E145" s="2" t="s">
        <v>12</v>
      </c>
      <c r="F145" s="2" t="s">
        <v>64</v>
      </c>
      <c r="G145" s="2" t="s">
        <v>1592</v>
      </c>
      <c r="H145" s="2" t="s">
        <v>65</v>
      </c>
      <c r="I145" s="2" t="n">
        <v>0</v>
      </c>
    </row>
    <row r="146" customFormat="false" ht="15" hidden="false" customHeight="false" outlineLevel="0" collapsed="false">
      <c r="A146" s="2" t="s">
        <v>1903</v>
      </c>
      <c r="B146" s="2" t="s">
        <v>1904</v>
      </c>
      <c r="C146" s="2" t="s">
        <v>736</v>
      </c>
      <c r="D146" s="2" t="n">
        <v>2025</v>
      </c>
      <c r="E146" s="2" t="s">
        <v>12</v>
      </c>
      <c r="F146" s="2" t="s">
        <v>55</v>
      </c>
      <c r="G146" s="2" t="s">
        <v>1592</v>
      </c>
      <c r="H146" s="2" t="s">
        <v>56</v>
      </c>
      <c r="I146" s="2" t="n">
        <v>0</v>
      </c>
    </row>
    <row r="147" customFormat="false" ht="15" hidden="false" customHeight="false" outlineLevel="0" collapsed="false">
      <c r="A147" s="2" t="s">
        <v>1905</v>
      </c>
      <c r="B147" s="2" t="s">
        <v>1906</v>
      </c>
      <c r="C147" s="2" t="s">
        <v>736</v>
      </c>
      <c r="D147" s="2" t="n">
        <v>2025</v>
      </c>
      <c r="E147" s="2" t="s">
        <v>12</v>
      </c>
      <c r="F147" s="2" t="s">
        <v>55</v>
      </c>
      <c r="G147" s="2" t="s">
        <v>1592</v>
      </c>
      <c r="H147" s="2" t="s">
        <v>56</v>
      </c>
      <c r="I147" s="2" t="n">
        <v>0</v>
      </c>
    </row>
    <row r="148" customFormat="false" ht="15" hidden="false" customHeight="false" outlineLevel="0" collapsed="false">
      <c r="A148" s="2" t="s">
        <v>1907</v>
      </c>
      <c r="B148" s="2" t="s">
        <v>1908</v>
      </c>
      <c r="C148" s="2" t="s">
        <v>752</v>
      </c>
      <c r="D148" s="2" t="n">
        <v>2025</v>
      </c>
      <c r="E148" s="2" t="s">
        <v>12</v>
      </c>
      <c r="F148" s="2" t="s">
        <v>13</v>
      </c>
      <c r="G148" s="2" t="s">
        <v>1592</v>
      </c>
      <c r="H148" s="2" t="s">
        <v>15</v>
      </c>
      <c r="I148" s="2" t="n">
        <v>8</v>
      </c>
    </row>
    <row r="149" customFormat="false" ht="15" hidden="false" customHeight="false" outlineLevel="0" collapsed="false">
      <c r="A149" s="2" t="s">
        <v>1909</v>
      </c>
      <c r="B149" s="2" t="s">
        <v>1910</v>
      </c>
      <c r="C149" s="2" t="s">
        <v>752</v>
      </c>
      <c r="D149" s="2" t="n">
        <v>2025</v>
      </c>
      <c r="E149" s="2" t="s">
        <v>12</v>
      </c>
      <c r="F149" s="2" t="s">
        <v>13</v>
      </c>
      <c r="G149" s="2" t="s">
        <v>1592</v>
      </c>
      <c r="H149" s="2" t="s">
        <v>15</v>
      </c>
      <c r="I149" s="2" t="n">
        <v>1</v>
      </c>
    </row>
    <row r="150" customFormat="false" ht="15" hidden="false" customHeight="false" outlineLevel="0" collapsed="false">
      <c r="A150" s="2" t="s">
        <v>1911</v>
      </c>
      <c r="B150" s="2" t="s">
        <v>1912</v>
      </c>
      <c r="C150" s="2" t="s">
        <v>752</v>
      </c>
      <c r="D150" s="2" t="n">
        <v>2025</v>
      </c>
      <c r="E150" s="2" t="s">
        <v>12</v>
      </c>
      <c r="F150" s="2" t="s">
        <v>146</v>
      </c>
      <c r="G150" s="2" t="s">
        <v>1592</v>
      </c>
      <c r="H150" s="2" t="s">
        <v>147</v>
      </c>
      <c r="I150" s="2" t="n">
        <v>0</v>
      </c>
    </row>
    <row r="151" customFormat="false" ht="15" hidden="false" customHeight="false" outlineLevel="0" collapsed="false">
      <c r="A151" s="2" t="s">
        <v>1913</v>
      </c>
      <c r="B151" s="2" t="s">
        <v>1914</v>
      </c>
      <c r="C151" s="2" t="s">
        <v>752</v>
      </c>
      <c r="D151" s="2" t="n">
        <v>2025</v>
      </c>
      <c r="E151" s="2" t="s">
        <v>12</v>
      </c>
      <c r="F151" s="2" t="s">
        <v>64</v>
      </c>
      <c r="G151" s="2" t="s">
        <v>1592</v>
      </c>
      <c r="H151" s="2" t="s">
        <v>65</v>
      </c>
      <c r="I151" s="2" t="n">
        <v>0</v>
      </c>
    </row>
    <row r="152" customFormat="false" ht="15" hidden="false" customHeight="false" outlineLevel="0" collapsed="false">
      <c r="A152" s="2" t="s">
        <v>1915</v>
      </c>
      <c r="B152" s="2" t="s">
        <v>1916</v>
      </c>
      <c r="C152" s="2" t="s">
        <v>752</v>
      </c>
      <c r="D152" s="2" t="n">
        <v>2025</v>
      </c>
      <c r="E152" s="2" t="s">
        <v>12</v>
      </c>
      <c r="F152" s="2" t="s">
        <v>146</v>
      </c>
      <c r="G152" s="2" t="s">
        <v>1592</v>
      </c>
      <c r="H152" s="2" t="s">
        <v>147</v>
      </c>
      <c r="I152" s="2" t="n">
        <v>0</v>
      </c>
    </row>
    <row r="153" customFormat="false" ht="15" hidden="false" customHeight="false" outlineLevel="0" collapsed="false">
      <c r="A153" s="2" t="s">
        <v>1917</v>
      </c>
      <c r="B153" s="2" t="s">
        <v>1918</v>
      </c>
      <c r="C153" s="2" t="s">
        <v>763</v>
      </c>
      <c r="D153" s="2" t="n">
        <v>2025</v>
      </c>
      <c r="E153" s="2" t="s">
        <v>726</v>
      </c>
      <c r="F153" s="2" t="s">
        <v>146</v>
      </c>
      <c r="G153" s="2" t="s">
        <v>1592</v>
      </c>
      <c r="H153" s="2" t="s">
        <v>147</v>
      </c>
      <c r="I153" s="2" t="n">
        <v>0</v>
      </c>
    </row>
    <row r="154" customFormat="false" ht="15" hidden="false" customHeight="false" outlineLevel="0" collapsed="false">
      <c r="A154" s="2" t="s">
        <v>1919</v>
      </c>
      <c r="B154" s="2" t="s">
        <v>1920</v>
      </c>
      <c r="C154" s="2" t="s">
        <v>771</v>
      </c>
      <c r="D154" s="2" t="n">
        <v>2025</v>
      </c>
      <c r="E154" s="2" t="s">
        <v>12</v>
      </c>
      <c r="F154" s="2" t="s">
        <v>26</v>
      </c>
      <c r="G154" s="2" t="s">
        <v>1592</v>
      </c>
      <c r="H154" s="2" t="s">
        <v>28</v>
      </c>
      <c r="I154" s="2" t="n">
        <v>0</v>
      </c>
    </row>
    <row r="155" customFormat="false" ht="15" hidden="false" customHeight="false" outlineLevel="0" collapsed="false">
      <c r="A155" s="2" t="s">
        <v>1921</v>
      </c>
      <c r="B155" s="2" t="s">
        <v>1922</v>
      </c>
      <c r="C155" s="2" t="s">
        <v>771</v>
      </c>
      <c r="D155" s="2" t="n">
        <v>2025</v>
      </c>
      <c r="E155" s="2" t="s">
        <v>12</v>
      </c>
      <c r="F155" s="2" t="s">
        <v>64</v>
      </c>
      <c r="G155" s="2" t="s">
        <v>1592</v>
      </c>
      <c r="H155" s="2" t="s">
        <v>65</v>
      </c>
      <c r="I155" s="2" t="n">
        <v>0</v>
      </c>
    </row>
    <row r="156" customFormat="false" ht="15" hidden="false" customHeight="false" outlineLevel="0" collapsed="false">
      <c r="A156" s="2" t="s">
        <v>1923</v>
      </c>
      <c r="B156" s="2" t="s">
        <v>1924</v>
      </c>
      <c r="C156" s="2" t="s">
        <v>771</v>
      </c>
      <c r="D156" s="2" t="n">
        <v>2025</v>
      </c>
      <c r="E156" s="2" t="s">
        <v>12</v>
      </c>
      <c r="F156" s="2" t="s">
        <v>146</v>
      </c>
      <c r="G156" s="2" t="s">
        <v>1592</v>
      </c>
      <c r="H156" s="2" t="s">
        <v>147</v>
      </c>
      <c r="I156" s="2" t="n">
        <v>2</v>
      </c>
    </row>
    <row r="157" customFormat="false" ht="15" hidden="false" customHeight="false" outlineLevel="0" collapsed="false">
      <c r="A157" s="2" t="s">
        <v>1925</v>
      </c>
      <c r="B157" s="2" t="s">
        <v>1926</v>
      </c>
      <c r="C157" s="2" t="s">
        <v>1927</v>
      </c>
      <c r="D157" s="2" t="n">
        <v>2025</v>
      </c>
      <c r="E157" s="2" t="s">
        <v>46</v>
      </c>
      <c r="F157" s="2" t="s">
        <v>26</v>
      </c>
      <c r="G157" s="2" t="s">
        <v>1592</v>
      </c>
      <c r="H157" s="2" t="s">
        <v>28</v>
      </c>
      <c r="I157" s="2" t="n">
        <v>0</v>
      </c>
    </row>
    <row r="158" customFormat="false" ht="15" hidden="false" customHeight="false" outlineLevel="0" collapsed="false">
      <c r="A158" s="2" t="s">
        <v>1928</v>
      </c>
      <c r="B158" s="2" t="s">
        <v>1929</v>
      </c>
      <c r="C158" s="2" t="s">
        <v>778</v>
      </c>
      <c r="D158" s="2" t="n">
        <v>2025</v>
      </c>
      <c r="E158" s="2" t="s">
        <v>12</v>
      </c>
      <c r="F158" s="2" t="s">
        <v>64</v>
      </c>
      <c r="G158" s="2" t="s">
        <v>1592</v>
      </c>
      <c r="H158" s="2" t="s">
        <v>65</v>
      </c>
      <c r="I158" s="2" t="n">
        <v>0</v>
      </c>
    </row>
    <row r="159" customFormat="false" ht="15" hidden="false" customHeight="false" outlineLevel="0" collapsed="false">
      <c r="A159" s="2" t="s">
        <v>1930</v>
      </c>
      <c r="B159" s="2" t="s">
        <v>1931</v>
      </c>
      <c r="C159" s="2" t="s">
        <v>781</v>
      </c>
      <c r="D159" s="2" t="n">
        <v>2025</v>
      </c>
      <c r="E159" s="2" t="s">
        <v>12</v>
      </c>
      <c r="F159" s="2" t="s">
        <v>64</v>
      </c>
      <c r="G159" s="2" t="s">
        <v>1592</v>
      </c>
      <c r="H159" s="2" t="s">
        <v>65</v>
      </c>
      <c r="I159" s="2" t="n">
        <v>0</v>
      </c>
    </row>
    <row r="160" customFormat="false" ht="15" hidden="false" customHeight="false" outlineLevel="0" collapsed="false">
      <c r="A160" s="2" t="s">
        <v>1932</v>
      </c>
      <c r="B160" s="2" t="s">
        <v>1933</v>
      </c>
      <c r="C160" s="2" t="s">
        <v>788</v>
      </c>
      <c r="D160" s="2" t="n">
        <v>2025</v>
      </c>
      <c r="E160" s="2" t="s">
        <v>12</v>
      </c>
      <c r="F160" s="2" t="s">
        <v>64</v>
      </c>
      <c r="G160" s="2" t="s">
        <v>1592</v>
      </c>
      <c r="H160" s="2" t="s">
        <v>65</v>
      </c>
      <c r="I160" s="2" t="n">
        <v>0</v>
      </c>
    </row>
    <row r="161" customFormat="false" ht="15" hidden="false" customHeight="false" outlineLevel="0" collapsed="false">
      <c r="A161" s="2" t="s">
        <v>1934</v>
      </c>
      <c r="B161" s="2" t="s">
        <v>1935</v>
      </c>
      <c r="C161" s="2" t="s">
        <v>788</v>
      </c>
      <c r="D161" s="2" t="n">
        <v>2025</v>
      </c>
      <c r="E161" s="2" t="s">
        <v>12</v>
      </c>
      <c r="F161" s="2" t="s">
        <v>908</v>
      </c>
      <c r="G161" s="2" t="s">
        <v>1592</v>
      </c>
      <c r="H161" s="2" t="s">
        <v>909</v>
      </c>
      <c r="I161" s="2" t="n">
        <v>0</v>
      </c>
    </row>
    <row r="162" customFormat="false" ht="15" hidden="false" customHeight="false" outlineLevel="0" collapsed="false">
      <c r="A162" s="2" t="s">
        <v>1936</v>
      </c>
      <c r="B162" s="2" t="s">
        <v>1937</v>
      </c>
      <c r="C162" s="2" t="s">
        <v>797</v>
      </c>
      <c r="D162" s="2" t="n">
        <v>2025</v>
      </c>
      <c r="E162" s="2" t="s">
        <v>12</v>
      </c>
      <c r="F162" s="2" t="s">
        <v>26</v>
      </c>
      <c r="G162" s="2" t="s">
        <v>1592</v>
      </c>
      <c r="H162" s="2" t="s">
        <v>28</v>
      </c>
      <c r="I162" s="2" t="n">
        <v>1</v>
      </c>
    </row>
    <row r="163" customFormat="false" ht="15" hidden="false" customHeight="false" outlineLevel="0" collapsed="false">
      <c r="A163" s="2" t="s">
        <v>1938</v>
      </c>
      <c r="B163" s="2" t="s">
        <v>1939</v>
      </c>
      <c r="C163" s="2" t="s">
        <v>797</v>
      </c>
      <c r="D163" s="2" t="n">
        <v>2025</v>
      </c>
      <c r="E163" s="2" t="s">
        <v>12</v>
      </c>
      <c r="F163" s="2" t="s">
        <v>64</v>
      </c>
      <c r="G163" s="2" t="s">
        <v>1592</v>
      </c>
      <c r="H163" s="2" t="s">
        <v>65</v>
      </c>
      <c r="I163" s="2" t="n">
        <v>0</v>
      </c>
    </row>
    <row r="164" customFormat="false" ht="15" hidden="false" customHeight="false" outlineLevel="0" collapsed="false">
      <c r="A164" s="2" t="s">
        <v>1940</v>
      </c>
      <c r="B164" s="2" t="s">
        <v>1941</v>
      </c>
      <c r="C164" s="2" t="s">
        <v>797</v>
      </c>
      <c r="D164" s="2" t="n">
        <v>2025</v>
      </c>
      <c r="E164" s="2" t="s">
        <v>12</v>
      </c>
      <c r="F164" s="2" t="s">
        <v>64</v>
      </c>
      <c r="G164" s="2" t="s">
        <v>1592</v>
      </c>
      <c r="H164" s="2" t="s">
        <v>65</v>
      </c>
      <c r="I164" s="2" t="n">
        <v>2</v>
      </c>
    </row>
    <row r="165" customFormat="false" ht="15" hidden="false" customHeight="false" outlineLevel="0" collapsed="false">
      <c r="A165" s="2" t="s">
        <v>1942</v>
      </c>
      <c r="B165" s="2" t="s">
        <v>1943</v>
      </c>
      <c r="C165" s="2" t="s">
        <v>836</v>
      </c>
      <c r="D165" s="2" t="n">
        <v>2025</v>
      </c>
      <c r="E165" s="2" t="s">
        <v>12</v>
      </c>
      <c r="F165" s="2" t="s">
        <v>13</v>
      </c>
      <c r="G165" s="2" t="s">
        <v>1592</v>
      </c>
      <c r="H165" s="2" t="s">
        <v>15</v>
      </c>
      <c r="I165" s="2" t="n">
        <v>2</v>
      </c>
    </row>
    <row r="166" customFormat="false" ht="15" hidden="false" customHeight="false" outlineLevel="0" collapsed="false">
      <c r="A166" s="2" t="s">
        <v>1944</v>
      </c>
      <c r="B166" s="2" t="s">
        <v>1945</v>
      </c>
      <c r="C166" s="2" t="s">
        <v>1946</v>
      </c>
      <c r="D166" s="2" t="n">
        <v>2025</v>
      </c>
      <c r="E166" s="2" t="s">
        <v>46</v>
      </c>
      <c r="F166" s="2" t="s">
        <v>26</v>
      </c>
      <c r="G166" s="2" t="s">
        <v>1592</v>
      </c>
      <c r="H166" s="2" t="s">
        <v>28</v>
      </c>
      <c r="I166" s="2" t="n">
        <v>0</v>
      </c>
    </row>
    <row r="167" customFormat="false" ht="15" hidden="false" customHeight="false" outlineLevel="0" collapsed="false">
      <c r="A167" s="2" t="s">
        <v>1947</v>
      </c>
      <c r="B167" s="2" t="s">
        <v>1948</v>
      </c>
      <c r="C167" s="2" t="s">
        <v>845</v>
      </c>
      <c r="D167" s="2" t="n">
        <v>2025</v>
      </c>
      <c r="E167" s="2" t="s">
        <v>12</v>
      </c>
      <c r="F167" s="2" t="s">
        <v>64</v>
      </c>
      <c r="G167" s="2" t="s">
        <v>1592</v>
      </c>
      <c r="H167" s="2" t="s">
        <v>65</v>
      </c>
      <c r="I167" s="2" t="n">
        <v>1</v>
      </c>
    </row>
    <row r="168" customFormat="false" ht="15" hidden="false" customHeight="false" outlineLevel="0" collapsed="false">
      <c r="A168" s="2" t="s">
        <v>1949</v>
      </c>
      <c r="B168" s="2" t="s">
        <v>1950</v>
      </c>
      <c r="C168" s="2" t="s">
        <v>1951</v>
      </c>
      <c r="D168" s="2" t="n">
        <v>2025</v>
      </c>
      <c r="E168" s="2" t="s">
        <v>46</v>
      </c>
      <c r="F168" s="2" t="s">
        <v>26</v>
      </c>
      <c r="G168" s="2" t="s">
        <v>1592</v>
      </c>
      <c r="H168" s="2" t="s">
        <v>28</v>
      </c>
      <c r="I168" s="2" t="n">
        <v>0</v>
      </c>
    </row>
    <row r="169" customFormat="false" ht="15" hidden="false" customHeight="false" outlineLevel="0" collapsed="false">
      <c r="A169" s="2" t="s">
        <v>1952</v>
      </c>
      <c r="B169" s="2" t="s">
        <v>1953</v>
      </c>
      <c r="C169" s="2" t="s">
        <v>855</v>
      </c>
      <c r="D169" s="2" t="n">
        <v>2025</v>
      </c>
      <c r="E169" s="2" t="s">
        <v>40</v>
      </c>
      <c r="F169" s="2" t="s">
        <v>1954</v>
      </c>
      <c r="G169" s="2" t="s">
        <v>1592</v>
      </c>
      <c r="H169" s="2" t="s">
        <v>1955</v>
      </c>
      <c r="I169" s="2" t="n">
        <v>1</v>
      </c>
    </row>
    <row r="170" customFormat="false" ht="15" hidden="false" customHeight="false" outlineLevel="0" collapsed="false">
      <c r="A170" s="2" t="s">
        <v>1956</v>
      </c>
      <c r="B170" s="2" t="s">
        <v>1957</v>
      </c>
      <c r="C170" s="2" t="s">
        <v>858</v>
      </c>
      <c r="D170" s="2" t="n">
        <v>2025</v>
      </c>
      <c r="E170" s="2" t="s">
        <v>12</v>
      </c>
      <c r="F170" s="2" t="s">
        <v>26</v>
      </c>
      <c r="G170" s="2" t="s">
        <v>1592</v>
      </c>
      <c r="H170" s="2" t="s">
        <v>28</v>
      </c>
      <c r="I170" s="2" t="n">
        <v>0</v>
      </c>
    </row>
    <row r="171" customFormat="false" ht="15" hidden="false" customHeight="false" outlineLevel="0" collapsed="false">
      <c r="A171" s="2" t="s">
        <v>1958</v>
      </c>
      <c r="B171" s="2" t="s">
        <v>1959</v>
      </c>
      <c r="C171" s="2" t="s">
        <v>871</v>
      </c>
      <c r="D171" s="2" t="n">
        <v>2025</v>
      </c>
      <c r="E171" s="2" t="s">
        <v>12</v>
      </c>
      <c r="F171" s="2" t="s">
        <v>146</v>
      </c>
      <c r="G171" s="2" t="s">
        <v>1592</v>
      </c>
      <c r="H171" s="2" t="s">
        <v>147</v>
      </c>
      <c r="I171" s="2" t="n">
        <v>1</v>
      </c>
    </row>
    <row r="172" customFormat="false" ht="15" hidden="false" customHeight="false" outlineLevel="0" collapsed="false">
      <c r="A172" s="2" t="s">
        <v>1960</v>
      </c>
      <c r="B172" s="2" t="s">
        <v>1961</v>
      </c>
      <c r="C172" s="2" t="s">
        <v>871</v>
      </c>
      <c r="D172" s="2" t="n">
        <v>2025</v>
      </c>
      <c r="E172" s="2" t="s">
        <v>12</v>
      </c>
      <c r="F172" s="2" t="s">
        <v>146</v>
      </c>
      <c r="G172" s="2" t="s">
        <v>1592</v>
      </c>
      <c r="H172" s="2" t="s">
        <v>147</v>
      </c>
      <c r="I172" s="2" t="n">
        <v>0</v>
      </c>
    </row>
    <row r="173" customFormat="false" ht="15" hidden="false" customHeight="false" outlineLevel="0" collapsed="false">
      <c r="A173" s="2" t="s">
        <v>1962</v>
      </c>
      <c r="B173" s="2" t="s">
        <v>1963</v>
      </c>
      <c r="C173" s="2" t="s">
        <v>1964</v>
      </c>
      <c r="D173" s="2" t="n">
        <v>2025</v>
      </c>
      <c r="E173" s="2" t="s">
        <v>432</v>
      </c>
      <c r="F173" s="2" t="s">
        <v>1965</v>
      </c>
      <c r="G173" s="2" t="s">
        <v>1592</v>
      </c>
      <c r="H173" s="2" t="s">
        <v>1966</v>
      </c>
      <c r="I173" s="2" t="n">
        <v>0</v>
      </c>
    </row>
    <row r="174" customFormat="false" ht="15" hidden="false" customHeight="false" outlineLevel="0" collapsed="false">
      <c r="A174" s="2" t="s">
        <v>1967</v>
      </c>
      <c r="B174" s="2" t="s">
        <v>1968</v>
      </c>
      <c r="C174" s="2" t="s">
        <v>876</v>
      </c>
      <c r="D174" s="2" t="n">
        <v>2025</v>
      </c>
      <c r="E174" s="2" t="s">
        <v>12</v>
      </c>
      <c r="F174" s="2" t="s">
        <v>64</v>
      </c>
      <c r="G174" s="2" t="s">
        <v>1592</v>
      </c>
      <c r="H174" s="2" t="s">
        <v>65</v>
      </c>
      <c r="I174" s="2" t="n">
        <v>0</v>
      </c>
    </row>
    <row r="175" customFormat="false" ht="15" hidden="false" customHeight="false" outlineLevel="0" collapsed="false">
      <c r="A175" s="2" t="s">
        <v>1969</v>
      </c>
      <c r="B175" s="2" t="s">
        <v>1970</v>
      </c>
      <c r="C175" s="2" t="s">
        <v>884</v>
      </c>
      <c r="D175" s="2" t="n">
        <v>2025</v>
      </c>
      <c r="E175" s="2" t="s">
        <v>12</v>
      </c>
      <c r="F175" s="2" t="s">
        <v>64</v>
      </c>
      <c r="G175" s="2" t="s">
        <v>1592</v>
      </c>
      <c r="H175" s="2" t="s">
        <v>65</v>
      </c>
      <c r="I175" s="2" t="n">
        <v>4</v>
      </c>
    </row>
    <row r="176" customFormat="false" ht="15" hidden="false" customHeight="false" outlineLevel="0" collapsed="false">
      <c r="A176" s="2" t="s">
        <v>1971</v>
      </c>
      <c r="B176" s="2" t="s">
        <v>1972</v>
      </c>
      <c r="C176" s="2" t="s">
        <v>884</v>
      </c>
      <c r="D176" s="2" t="n">
        <v>2025</v>
      </c>
      <c r="E176" s="2" t="s">
        <v>12</v>
      </c>
      <c r="F176" s="2" t="s">
        <v>64</v>
      </c>
      <c r="G176" s="2" t="s">
        <v>1592</v>
      </c>
      <c r="H176" s="2" t="s">
        <v>65</v>
      </c>
      <c r="I176" s="2" t="n">
        <v>0</v>
      </c>
    </row>
    <row r="177" customFormat="false" ht="15" hidden="false" customHeight="false" outlineLevel="0" collapsed="false">
      <c r="A177" s="2" t="s">
        <v>1973</v>
      </c>
      <c r="B177" s="2" t="s">
        <v>1974</v>
      </c>
      <c r="C177" s="2" t="s">
        <v>887</v>
      </c>
      <c r="D177" s="2" t="n">
        <v>2025</v>
      </c>
      <c r="E177" s="2" t="s">
        <v>12</v>
      </c>
      <c r="F177" s="2" t="s">
        <v>64</v>
      </c>
      <c r="G177" s="2" t="s">
        <v>1592</v>
      </c>
      <c r="H177" s="2" t="s">
        <v>65</v>
      </c>
      <c r="I177" s="2" t="n">
        <v>0</v>
      </c>
    </row>
    <row r="178" customFormat="false" ht="15" hidden="false" customHeight="false" outlineLevel="0" collapsed="false">
      <c r="A178" s="2" t="s">
        <v>1975</v>
      </c>
      <c r="B178" s="2" t="s">
        <v>1976</v>
      </c>
      <c r="C178" s="2" t="s">
        <v>887</v>
      </c>
      <c r="D178" s="2" t="n">
        <v>2025</v>
      </c>
      <c r="E178" s="2" t="s">
        <v>40</v>
      </c>
      <c r="F178" s="2" t="s">
        <v>13</v>
      </c>
      <c r="G178" s="2" t="s">
        <v>1592</v>
      </c>
      <c r="H178" s="2" t="s">
        <v>15</v>
      </c>
      <c r="I178" s="2" t="n">
        <v>0</v>
      </c>
    </row>
    <row r="179" customFormat="false" ht="15" hidden="false" customHeight="false" outlineLevel="0" collapsed="false">
      <c r="A179" s="2" t="s">
        <v>1977</v>
      </c>
      <c r="B179" s="2" t="s">
        <v>1978</v>
      </c>
      <c r="C179" s="2" t="s">
        <v>893</v>
      </c>
      <c r="D179" s="2" t="n">
        <v>2025</v>
      </c>
      <c r="E179" s="2" t="s">
        <v>12</v>
      </c>
      <c r="F179" s="2" t="s">
        <v>64</v>
      </c>
      <c r="G179" s="2" t="s">
        <v>1592</v>
      </c>
      <c r="H179" s="2" t="s">
        <v>65</v>
      </c>
      <c r="I179" s="2" t="n">
        <v>0</v>
      </c>
    </row>
    <row r="180" customFormat="false" ht="15" hidden="false" customHeight="false" outlineLevel="0" collapsed="false">
      <c r="A180" s="2" t="s">
        <v>1979</v>
      </c>
      <c r="B180" s="2" t="s">
        <v>1980</v>
      </c>
      <c r="C180" s="2" t="s">
        <v>893</v>
      </c>
      <c r="D180" s="2" t="n">
        <v>2025</v>
      </c>
      <c r="E180" s="2" t="s">
        <v>12</v>
      </c>
      <c r="F180" s="2" t="s">
        <v>146</v>
      </c>
      <c r="G180" s="2" t="s">
        <v>1592</v>
      </c>
      <c r="H180" s="2" t="s">
        <v>147</v>
      </c>
      <c r="I180" s="2" t="n">
        <v>2</v>
      </c>
    </row>
    <row r="181" customFormat="false" ht="15" hidden="false" customHeight="false" outlineLevel="0" collapsed="false">
      <c r="A181" s="2" t="s">
        <v>1981</v>
      </c>
      <c r="B181" s="2" t="s">
        <v>1982</v>
      </c>
      <c r="C181" s="2" t="s">
        <v>1983</v>
      </c>
      <c r="D181" s="2" t="n">
        <v>2025</v>
      </c>
      <c r="E181" s="2" t="s">
        <v>12</v>
      </c>
      <c r="F181" s="2" t="s">
        <v>64</v>
      </c>
      <c r="G181" s="2" t="s">
        <v>1592</v>
      </c>
      <c r="H181" s="2" t="s">
        <v>65</v>
      </c>
      <c r="I181" s="2" t="n">
        <v>0</v>
      </c>
    </row>
    <row r="182" customFormat="false" ht="15" hidden="false" customHeight="false" outlineLevel="0" collapsed="false">
      <c r="A182" s="2" t="s">
        <v>1984</v>
      </c>
      <c r="B182" s="2" t="s">
        <v>1985</v>
      </c>
      <c r="C182" s="2" t="s">
        <v>899</v>
      </c>
      <c r="D182" s="2" t="n">
        <v>2025</v>
      </c>
      <c r="E182" s="2" t="s">
        <v>12</v>
      </c>
      <c r="F182" s="2" t="s">
        <v>82</v>
      </c>
      <c r="G182" s="2" t="s">
        <v>1592</v>
      </c>
      <c r="H182" s="2" t="s">
        <v>83</v>
      </c>
      <c r="I182" s="2" t="n">
        <v>0</v>
      </c>
    </row>
    <row r="183" customFormat="false" ht="15" hidden="false" customHeight="false" outlineLevel="0" collapsed="false">
      <c r="A183" s="2" t="s">
        <v>1986</v>
      </c>
      <c r="B183" s="2" t="s">
        <v>1987</v>
      </c>
      <c r="C183" s="2" t="s">
        <v>1988</v>
      </c>
      <c r="D183" s="2" t="n">
        <v>2025</v>
      </c>
      <c r="E183" s="2" t="s">
        <v>60</v>
      </c>
      <c r="F183" s="2" t="s">
        <v>314</v>
      </c>
      <c r="G183" s="2" t="s">
        <v>1592</v>
      </c>
      <c r="H183" s="2" t="s">
        <v>315</v>
      </c>
      <c r="I183" s="2" t="n">
        <v>0</v>
      </c>
    </row>
    <row r="184" customFormat="false" ht="15" hidden="false" customHeight="false" outlineLevel="0" collapsed="false">
      <c r="A184" s="2" t="s">
        <v>1989</v>
      </c>
      <c r="B184" s="2" t="s">
        <v>1990</v>
      </c>
      <c r="C184" s="2" t="s">
        <v>902</v>
      </c>
      <c r="D184" s="2" t="n">
        <v>2025</v>
      </c>
      <c r="E184" s="2" t="s">
        <v>12</v>
      </c>
      <c r="F184" s="2" t="s">
        <v>64</v>
      </c>
      <c r="G184" s="2" t="s">
        <v>1592</v>
      </c>
      <c r="H184" s="2" t="s">
        <v>65</v>
      </c>
      <c r="I184" s="2" t="n">
        <v>1</v>
      </c>
    </row>
    <row r="185" customFormat="false" ht="15" hidden="false" customHeight="false" outlineLevel="0" collapsed="false">
      <c r="A185" s="2" t="s">
        <v>1991</v>
      </c>
      <c r="B185" s="2" t="s">
        <v>1992</v>
      </c>
      <c r="C185" s="2" t="s">
        <v>902</v>
      </c>
      <c r="D185" s="2" t="n">
        <v>2025</v>
      </c>
      <c r="E185" s="2" t="s">
        <v>40</v>
      </c>
      <c r="F185" s="2" t="s">
        <v>55</v>
      </c>
      <c r="G185" s="2" t="s">
        <v>1592</v>
      </c>
      <c r="H185" s="2" t="s">
        <v>1876</v>
      </c>
      <c r="I185" s="2" t="n">
        <v>0</v>
      </c>
    </row>
    <row r="186" customFormat="false" ht="15" hidden="false" customHeight="false" outlineLevel="0" collapsed="false">
      <c r="A186" s="2" t="s">
        <v>1993</v>
      </c>
      <c r="B186" s="2" t="s">
        <v>1994</v>
      </c>
      <c r="C186" s="2" t="s">
        <v>1995</v>
      </c>
      <c r="D186" s="2" t="n">
        <v>2025</v>
      </c>
      <c r="E186" s="2" t="s">
        <v>726</v>
      </c>
      <c r="F186" s="2" t="s">
        <v>26</v>
      </c>
      <c r="G186" s="2" t="s">
        <v>1592</v>
      </c>
      <c r="H186" s="2" t="s">
        <v>28</v>
      </c>
      <c r="I186" s="2" t="n">
        <v>0</v>
      </c>
    </row>
    <row r="187" customFormat="false" ht="15" hidden="false" customHeight="false" outlineLevel="0" collapsed="false">
      <c r="A187" s="2" t="s">
        <v>1996</v>
      </c>
      <c r="B187" s="2" t="s">
        <v>1997</v>
      </c>
      <c r="C187" s="2" t="s">
        <v>907</v>
      </c>
      <c r="D187" s="2" t="n">
        <v>2025</v>
      </c>
      <c r="E187" s="2" t="s">
        <v>12</v>
      </c>
      <c r="F187" s="2" t="s">
        <v>13</v>
      </c>
      <c r="G187" s="2" t="s">
        <v>1592</v>
      </c>
      <c r="H187" s="2" t="s">
        <v>15</v>
      </c>
      <c r="I187" s="2" t="n">
        <v>0</v>
      </c>
    </row>
    <row r="188" customFormat="false" ht="15" hidden="false" customHeight="false" outlineLevel="0" collapsed="false">
      <c r="A188" s="2" t="s">
        <v>1998</v>
      </c>
      <c r="B188" s="2" t="s">
        <v>1999</v>
      </c>
      <c r="C188" s="2" t="s">
        <v>2000</v>
      </c>
      <c r="D188" s="2" t="n">
        <v>2025</v>
      </c>
      <c r="E188" s="2" t="s">
        <v>46</v>
      </c>
      <c r="F188" s="2" t="s">
        <v>26</v>
      </c>
      <c r="G188" s="2" t="s">
        <v>1592</v>
      </c>
      <c r="H188" s="2" t="s">
        <v>28</v>
      </c>
      <c r="I188" s="2" t="n">
        <v>0</v>
      </c>
    </row>
    <row r="189" customFormat="false" ht="15" hidden="false" customHeight="false" outlineLevel="0" collapsed="false">
      <c r="A189" s="2" t="s">
        <v>2001</v>
      </c>
      <c r="B189" s="2" t="s">
        <v>2002</v>
      </c>
      <c r="C189" s="2" t="s">
        <v>933</v>
      </c>
      <c r="D189" s="2" t="n">
        <v>2025</v>
      </c>
      <c r="E189" s="2" t="s">
        <v>12</v>
      </c>
      <c r="F189" s="2" t="s">
        <v>82</v>
      </c>
      <c r="G189" s="2" t="s">
        <v>1592</v>
      </c>
      <c r="H189" s="2" t="s">
        <v>83</v>
      </c>
      <c r="I189" s="2" t="n">
        <v>1</v>
      </c>
    </row>
    <row r="190" customFormat="false" ht="15" hidden="false" customHeight="false" outlineLevel="0" collapsed="false">
      <c r="A190" s="2" t="s">
        <v>2003</v>
      </c>
      <c r="B190" s="2" t="s">
        <v>2004</v>
      </c>
      <c r="C190" s="2" t="s">
        <v>936</v>
      </c>
      <c r="D190" s="2" t="n">
        <v>2025</v>
      </c>
      <c r="E190" s="2" t="s">
        <v>12</v>
      </c>
      <c r="F190" s="2" t="s">
        <v>82</v>
      </c>
      <c r="G190" s="2" t="s">
        <v>1592</v>
      </c>
      <c r="H190" s="2" t="s">
        <v>83</v>
      </c>
      <c r="I190" s="2" t="n">
        <v>0</v>
      </c>
    </row>
    <row r="191" customFormat="false" ht="15" hidden="false" customHeight="false" outlineLevel="0" collapsed="false">
      <c r="A191" s="2" t="s">
        <v>2005</v>
      </c>
      <c r="B191" s="2" t="s">
        <v>2006</v>
      </c>
      <c r="C191" s="2" t="s">
        <v>939</v>
      </c>
      <c r="D191" s="2" t="n">
        <v>2025</v>
      </c>
      <c r="E191" s="2" t="s">
        <v>2007</v>
      </c>
      <c r="F191" s="2" t="s">
        <v>55</v>
      </c>
      <c r="G191" s="2" t="s">
        <v>1592</v>
      </c>
      <c r="H191" s="2" t="s">
        <v>2008</v>
      </c>
      <c r="I191" s="2" t="n">
        <v>0</v>
      </c>
    </row>
    <row r="192" customFormat="false" ht="15" hidden="false" customHeight="false" outlineLevel="0" collapsed="false">
      <c r="A192" s="2" t="s">
        <v>2009</v>
      </c>
      <c r="B192" s="2" t="s">
        <v>2010</v>
      </c>
      <c r="C192" s="2" t="s">
        <v>942</v>
      </c>
      <c r="D192" s="2" t="n">
        <v>2025</v>
      </c>
      <c r="E192" s="2" t="s">
        <v>12</v>
      </c>
      <c r="F192" s="2" t="s">
        <v>26</v>
      </c>
      <c r="G192" s="2" t="s">
        <v>1592</v>
      </c>
      <c r="H192" s="2" t="s">
        <v>28</v>
      </c>
      <c r="I192" s="2" t="n">
        <v>0</v>
      </c>
    </row>
    <row r="193" customFormat="false" ht="15" hidden="false" customHeight="false" outlineLevel="0" collapsed="false">
      <c r="A193" s="2" t="s">
        <v>2011</v>
      </c>
      <c r="B193" s="2" t="s">
        <v>2012</v>
      </c>
      <c r="C193" s="2" t="s">
        <v>2013</v>
      </c>
      <c r="D193" s="2" t="n">
        <v>2025</v>
      </c>
      <c r="E193" s="2" t="s">
        <v>432</v>
      </c>
      <c r="F193" s="2" t="s">
        <v>26</v>
      </c>
      <c r="G193" s="2" t="s">
        <v>1592</v>
      </c>
      <c r="H193" s="2" t="s">
        <v>28</v>
      </c>
      <c r="I193" s="2" t="n">
        <v>0</v>
      </c>
    </row>
    <row r="194" customFormat="false" ht="15" hidden="false" customHeight="false" outlineLevel="0" collapsed="false">
      <c r="A194" s="2" t="s">
        <v>2014</v>
      </c>
      <c r="B194" s="2" t="s">
        <v>2015</v>
      </c>
      <c r="C194" s="2" t="s">
        <v>945</v>
      </c>
      <c r="D194" s="2" t="n">
        <v>2025</v>
      </c>
      <c r="E194" s="2" t="s">
        <v>12</v>
      </c>
      <c r="F194" s="2" t="s">
        <v>64</v>
      </c>
      <c r="G194" s="2" t="s">
        <v>1592</v>
      </c>
      <c r="H194" s="2" t="s">
        <v>65</v>
      </c>
      <c r="I194" s="2" t="n">
        <v>2</v>
      </c>
    </row>
    <row r="195" customFormat="false" ht="15" hidden="false" customHeight="false" outlineLevel="0" collapsed="false">
      <c r="A195" s="2" t="s">
        <v>2016</v>
      </c>
      <c r="B195" s="2" t="s">
        <v>2017</v>
      </c>
      <c r="C195" s="2" t="s">
        <v>945</v>
      </c>
      <c r="D195" s="2" t="n">
        <v>2025</v>
      </c>
      <c r="E195" s="2" t="s">
        <v>12</v>
      </c>
      <c r="F195" s="2" t="s">
        <v>64</v>
      </c>
      <c r="G195" s="2" t="s">
        <v>1592</v>
      </c>
      <c r="H195" s="2" t="s">
        <v>65</v>
      </c>
      <c r="I195" s="2" t="n">
        <v>0</v>
      </c>
    </row>
    <row r="196" customFormat="false" ht="15" hidden="false" customHeight="false" outlineLevel="0" collapsed="false">
      <c r="A196" s="2" t="s">
        <v>2018</v>
      </c>
      <c r="B196" s="2" t="s">
        <v>2019</v>
      </c>
      <c r="C196" s="2" t="s">
        <v>957</v>
      </c>
      <c r="D196" s="2" t="n">
        <v>2025</v>
      </c>
      <c r="E196" s="2" t="s">
        <v>12</v>
      </c>
      <c r="F196" s="2" t="s">
        <v>64</v>
      </c>
      <c r="G196" s="2" t="s">
        <v>1592</v>
      </c>
      <c r="H196" s="2" t="s">
        <v>65</v>
      </c>
      <c r="I196" s="2" t="n">
        <v>0</v>
      </c>
    </row>
    <row r="197" customFormat="false" ht="15" hidden="false" customHeight="false" outlineLevel="0" collapsed="false">
      <c r="A197" s="2" t="s">
        <v>2020</v>
      </c>
      <c r="B197" s="2" t="s">
        <v>2021</v>
      </c>
      <c r="C197" s="2" t="s">
        <v>957</v>
      </c>
      <c r="D197" s="2" t="n">
        <v>2025</v>
      </c>
      <c r="E197" s="2" t="s">
        <v>12</v>
      </c>
      <c r="F197" s="2" t="s">
        <v>64</v>
      </c>
      <c r="G197" s="2" t="s">
        <v>1592</v>
      </c>
      <c r="H197" s="2" t="s">
        <v>65</v>
      </c>
      <c r="I197" s="2" t="n">
        <v>0</v>
      </c>
    </row>
    <row r="198" customFormat="false" ht="15" hidden="false" customHeight="false" outlineLevel="0" collapsed="false">
      <c r="A198" s="2" t="s">
        <v>2022</v>
      </c>
      <c r="B198" s="2" t="s">
        <v>2023</v>
      </c>
      <c r="C198" s="2" t="s">
        <v>957</v>
      </c>
      <c r="D198" s="2" t="n">
        <v>2025</v>
      </c>
      <c r="E198" s="2" t="s">
        <v>12</v>
      </c>
      <c r="F198" s="2" t="s">
        <v>64</v>
      </c>
      <c r="G198" s="2" t="s">
        <v>1592</v>
      </c>
      <c r="H198" s="2" t="s">
        <v>65</v>
      </c>
      <c r="I198" s="2" t="n">
        <v>1</v>
      </c>
    </row>
    <row r="199" customFormat="false" ht="15" hidden="false" customHeight="false" outlineLevel="0" collapsed="false">
      <c r="A199" s="2" t="s">
        <v>2024</v>
      </c>
      <c r="B199" s="2" t="s">
        <v>1797</v>
      </c>
      <c r="C199" s="2" t="s">
        <v>2025</v>
      </c>
      <c r="D199" s="2" t="n">
        <v>2025</v>
      </c>
      <c r="E199" s="2" t="s">
        <v>710</v>
      </c>
      <c r="F199" s="2" t="s">
        <v>26</v>
      </c>
      <c r="G199" s="2" t="s">
        <v>1592</v>
      </c>
      <c r="H199" s="2" t="s">
        <v>28</v>
      </c>
      <c r="I199" s="2" t="n">
        <v>0</v>
      </c>
    </row>
    <row r="200" customFormat="false" ht="15" hidden="false" customHeight="false" outlineLevel="0" collapsed="false">
      <c r="A200" s="2" t="s">
        <v>2026</v>
      </c>
      <c r="B200" s="2" t="s">
        <v>2027</v>
      </c>
      <c r="C200" s="2" t="s">
        <v>973</v>
      </c>
      <c r="D200" s="2" t="n">
        <v>2025</v>
      </c>
      <c r="E200" s="2" t="s">
        <v>12</v>
      </c>
      <c r="F200" s="2" t="s">
        <v>13</v>
      </c>
      <c r="G200" s="2" t="s">
        <v>1592</v>
      </c>
      <c r="H200" s="2" t="s">
        <v>15</v>
      </c>
      <c r="I200" s="2" t="n">
        <v>1</v>
      </c>
    </row>
    <row r="201" customFormat="false" ht="15" hidden="false" customHeight="false" outlineLevel="0" collapsed="false">
      <c r="A201" s="2" t="s">
        <v>2028</v>
      </c>
      <c r="B201" s="2" t="s">
        <v>2029</v>
      </c>
      <c r="C201" s="2" t="s">
        <v>973</v>
      </c>
      <c r="D201" s="2" t="n">
        <v>2025</v>
      </c>
      <c r="E201" s="2" t="s">
        <v>12</v>
      </c>
      <c r="F201" s="2" t="s">
        <v>146</v>
      </c>
      <c r="G201" s="2" t="s">
        <v>1592</v>
      </c>
      <c r="H201" s="2" t="s">
        <v>147</v>
      </c>
      <c r="I201" s="2" t="n">
        <v>2</v>
      </c>
    </row>
    <row r="202" customFormat="false" ht="15" hidden="false" customHeight="false" outlineLevel="0" collapsed="false">
      <c r="A202" s="2" t="s">
        <v>2030</v>
      </c>
      <c r="B202" s="2" t="s">
        <v>2031</v>
      </c>
      <c r="C202" s="2" t="s">
        <v>978</v>
      </c>
      <c r="D202" s="2" t="n">
        <v>2025</v>
      </c>
      <c r="E202" s="2" t="s">
        <v>12</v>
      </c>
      <c r="F202" s="2" t="s">
        <v>82</v>
      </c>
      <c r="G202" s="2" t="s">
        <v>1592</v>
      </c>
      <c r="H202" s="2" t="s">
        <v>83</v>
      </c>
      <c r="I202" s="2" t="n">
        <v>0</v>
      </c>
    </row>
    <row r="203" customFormat="false" ht="15" hidden="false" customHeight="false" outlineLevel="0" collapsed="false">
      <c r="A203" s="2" t="s">
        <v>2032</v>
      </c>
      <c r="B203" s="2" t="s">
        <v>2033</v>
      </c>
      <c r="C203" s="2" t="s">
        <v>981</v>
      </c>
      <c r="D203" s="2" t="n">
        <v>2025</v>
      </c>
      <c r="E203" s="2" t="s">
        <v>12</v>
      </c>
      <c r="F203" s="2" t="s">
        <v>26</v>
      </c>
      <c r="G203" s="2" t="s">
        <v>1592</v>
      </c>
      <c r="H203" s="2" t="s">
        <v>28</v>
      </c>
      <c r="I203" s="2" t="n">
        <v>0</v>
      </c>
    </row>
    <row r="204" customFormat="false" ht="15" hidden="false" customHeight="false" outlineLevel="0" collapsed="false">
      <c r="A204" s="2" t="s">
        <v>2034</v>
      </c>
      <c r="B204" s="2" t="s">
        <v>2035</v>
      </c>
      <c r="C204" s="2" t="s">
        <v>981</v>
      </c>
      <c r="D204" s="2" t="n">
        <v>2025</v>
      </c>
      <c r="E204" s="2" t="s">
        <v>12</v>
      </c>
      <c r="F204" s="2" t="s">
        <v>13</v>
      </c>
      <c r="G204" s="2" t="s">
        <v>1592</v>
      </c>
      <c r="H204" s="2" t="s">
        <v>15</v>
      </c>
      <c r="I204" s="2" t="n">
        <v>1</v>
      </c>
    </row>
    <row r="205" customFormat="false" ht="15" hidden="false" customHeight="false" outlineLevel="0" collapsed="false">
      <c r="A205" s="2" t="s">
        <v>2036</v>
      </c>
      <c r="B205" s="2" t="s">
        <v>2037</v>
      </c>
      <c r="C205" s="2" t="s">
        <v>986</v>
      </c>
      <c r="D205" s="2" t="n">
        <v>2025</v>
      </c>
      <c r="E205" s="2" t="s">
        <v>12</v>
      </c>
      <c r="F205" s="2" t="s">
        <v>64</v>
      </c>
      <c r="G205" s="2" t="s">
        <v>1592</v>
      </c>
      <c r="H205" s="2" t="s">
        <v>65</v>
      </c>
      <c r="I205" s="2" t="n">
        <v>2</v>
      </c>
    </row>
    <row r="206" customFormat="false" ht="15" hidden="false" customHeight="false" outlineLevel="0" collapsed="false">
      <c r="A206" s="2" t="s">
        <v>2038</v>
      </c>
      <c r="B206" s="2" t="s">
        <v>2039</v>
      </c>
      <c r="C206" s="2" t="s">
        <v>1003</v>
      </c>
      <c r="D206" s="2" t="n">
        <v>2025</v>
      </c>
      <c r="E206" s="2" t="s">
        <v>12</v>
      </c>
      <c r="F206" s="2" t="s">
        <v>64</v>
      </c>
      <c r="G206" s="2" t="s">
        <v>1592</v>
      </c>
      <c r="H206" s="2" t="s">
        <v>65</v>
      </c>
      <c r="I206" s="2" t="n">
        <v>0</v>
      </c>
    </row>
    <row r="207" customFormat="false" ht="15" hidden="false" customHeight="false" outlineLevel="0" collapsed="false">
      <c r="A207" s="2" t="s">
        <v>2040</v>
      </c>
      <c r="B207" s="2" t="s">
        <v>2041</v>
      </c>
      <c r="C207" s="2" t="s">
        <v>1008</v>
      </c>
      <c r="D207" s="2" t="n">
        <v>2025</v>
      </c>
      <c r="E207" s="2" t="s">
        <v>46</v>
      </c>
      <c r="F207" s="2" t="s">
        <v>26</v>
      </c>
      <c r="G207" s="2" t="s">
        <v>1592</v>
      </c>
      <c r="H207" s="2" t="s">
        <v>28</v>
      </c>
      <c r="I207" s="2" t="n">
        <v>0</v>
      </c>
    </row>
    <row r="208" customFormat="false" ht="15" hidden="false" customHeight="false" outlineLevel="0" collapsed="false">
      <c r="A208" s="2" t="s">
        <v>2042</v>
      </c>
      <c r="B208" s="2" t="s">
        <v>2043</v>
      </c>
      <c r="C208" s="2" t="s">
        <v>1031</v>
      </c>
      <c r="D208" s="2" t="n">
        <v>2025</v>
      </c>
      <c r="E208" s="2" t="s">
        <v>12</v>
      </c>
      <c r="F208" s="2" t="s">
        <v>64</v>
      </c>
      <c r="G208" s="2" t="s">
        <v>1592</v>
      </c>
      <c r="H208" s="2" t="s">
        <v>65</v>
      </c>
      <c r="I208" s="2" t="n">
        <v>0</v>
      </c>
    </row>
    <row r="209" customFormat="false" ht="15" hidden="false" customHeight="false" outlineLevel="0" collapsed="false">
      <c r="A209" s="2" t="s">
        <v>2044</v>
      </c>
      <c r="B209" s="2" t="s">
        <v>2045</v>
      </c>
      <c r="C209" s="2" t="s">
        <v>1038</v>
      </c>
      <c r="D209" s="2" t="n">
        <v>2025</v>
      </c>
      <c r="E209" s="2" t="s">
        <v>12</v>
      </c>
      <c r="F209" s="2" t="s">
        <v>13</v>
      </c>
      <c r="G209" s="2" t="s">
        <v>1592</v>
      </c>
      <c r="H209" s="2" t="s">
        <v>15</v>
      </c>
      <c r="I209" s="2" t="n">
        <v>0</v>
      </c>
    </row>
    <row r="210" customFormat="false" ht="15" hidden="false" customHeight="false" outlineLevel="0" collapsed="false">
      <c r="A210" s="2" t="s">
        <v>2046</v>
      </c>
      <c r="B210" s="2" t="s">
        <v>2047</v>
      </c>
      <c r="C210" s="2" t="s">
        <v>1041</v>
      </c>
      <c r="D210" s="2" t="n">
        <v>2025</v>
      </c>
      <c r="E210" s="2" t="s">
        <v>46</v>
      </c>
      <c r="F210" s="2" t="s">
        <v>55</v>
      </c>
      <c r="G210" s="2" t="s">
        <v>1592</v>
      </c>
      <c r="H210" s="2" t="s">
        <v>56</v>
      </c>
      <c r="I210" s="2" t="n">
        <v>0</v>
      </c>
    </row>
    <row r="211" customFormat="false" ht="15" hidden="false" customHeight="false" outlineLevel="0" collapsed="false">
      <c r="A211" s="2" t="s">
        <v>2048</v>
      </c>
      <c r="B211" s="2" t="s">
        <v>2049</v>
      </c>
      <c r="C211" s="2" t="s">
        <v>2050</v>
      </c>
      <c r="D211" s="2" t="n">
        <v>2025</v>
      </c>
      <c r="E211" s="2" t="s">
        <v>46</v>
      </c>
      <c r="F211" s="2" t="s">
        <v>26</v>
      </c>
      <c r="G211" s="2" t="s">
        <v>1592</v>
      </c>
      <c r="H211" s="2" t="s">
        <v>28</v>
      </c>
      <c r="I211" s="2" t="n">
        <v>0</v>
      </c>
    </row>
    <row r="212" customFormat="false" ht="15" hidden="false" customHeight="false" outlineLevel="0" collapsed="false">
      <c r="A212" s="2" t="s">
        <v>2051</v>
      </c>
      <c r="B212" s="2" t="s">
        <v>2052</v>
      </c>
      <c r="C212" s="2" t="s">
        <v>1055</v>
      </c>
      <c r="D212" s="2" t="n">
        <v>2025</v>
      </c>
      <c r="E212" s="2" t="s">
        <v>12</v>
      </c>
      <c r="F212" s="2" t="s">
        <v>64</v>
      </c>
      <c r="G212" s="2" t="s">
        <v>1592</v>
      </c>
      <c r="H212" s="2" t="s">
        <v>65</v>
      </c>
      <c r="I212" s="2" t="n">
        <v>2</v>
      </c>
    </row>
    <row r="213" customFormat="false" ht="15" hidden="false" customHeight="false" outlineLevel="0" collapsed="false">
      <c r="A213" s="2" t="s">
        <v>2053</v>
      </c>
      <c r="B213" s="2" t="s">
        <v>2054</v>
      </c>
      <c r="C213" s="2" t="s">
        <v>1058</v>
      </c>
      <c r="D213" s="2" t="n">
        <v>2025</v>
      </c>
      <c r="E213" s="2" t="s">
        <v>12</v>
      </c>
      <c r="F213" s="2" t="s">
        <v>64</v>
      </c>
      <c r="G213" s="2" t="s">
        <v>1592</v>
      </c>
      <c r="H213" s="2" t="s">
        <v>65</v>
      </c>
      <c r="I213" s="2" t="n">
        <v>0</v>
      </c>
    </row>
    <row r="214" customFormat="false" ht="15" hidden="false" customHeight="false" outlineLevel="0" collapsed="false">
      <c r="A214" s="2" t="s">
        <v>2055</v>
      </c>
      <c r="B214" s="2" t="s">
        <v>2056</v>
      </c>
      <c r="C214" s="2" t="s">
        <v>1058</v>
      </c>
      <c r="D214" s="2" t="n">
        <v>2025</v>
      </c>
      <c r="E214" s="2" t="s">
        <v>12</v>
      </c>
      <c r="F214" s="2" t="s">
        <v>64</v>
      </c>
      <c r="G214" s="2" t="s">
        <v>1592</v>
      </c>
      <c r="H214" s="2" t="s">
        <v>65</v>
      </c>
      <c r="I214" s="2" t="n">
        <v>0</v>
      </c>
    </row>
    <row r="215" customFormat="false" ht="15" hidden="false" customHeight="false" outlineLevel="0" collapsed="false">
      <c r="A215" s="2" t="s">
        <v>2057</v>
      </c>
      <c r="B215" s="2" t="s">
        <v>2058</v>
      </c>
      <c r="C215" s="2" t="s">
        <v>1070</v>
      </c>
      <c r="D215" s="2" t="n">
        <v>2025</v>
      </c>
      <c r="E215" s="2" t="s">
        <v>12</v>
      </c>
      <c r="F215" s="2" t="s">
        <v>26</v>
      </c>
      <c r="G215" s="2" t="s">
        <v>1592</v>
      </c>
      <c r="H215" s="2" t="s">
        <v>28</v>
      </c>
      <c r="I215" s="2" t="n">
        <v>1</v>
      </c>
    </row>
    <row r="216" customFormat="false" ht="15" hidden="false" customHeight="false" outlineLevel="0" collapsed="false">
      <c r="A216" s="2" t="s">
        <v>2059</v>
      </c>
      <c r="B216" s="2" t="s">
        <v>2060</v>
      </c>
      <c r="C216" s="2" t="s">
        <v>1076</v>
      </c>
      <c r="D216" s="2" t="n">
        <v>2025</v>
      </c>
      <c r="E216" s="2" t="s">
        <v>12</v>
      </c>
      <c r="F216" s="2" t="s">
        <v>146</v>
      </c>
      <c r="G216" s="2" t="s">
        <v>1592</v>
      </c>
      <c r="H216" s="2" t="s">
        <v>147</v>
      </c>
      <c r="I216" s="2" t="n">
        <v>3</v>
      </c>
    </row>
    <row r="217" customFormat="false" ht="15" hidden="false" customHeight="false" outlineLevel="0" collapsed="false">
      <c r="A217" s="2" t="s">
        <v>2061</v>
      </c>
      <c r="B217" s="2" t="s">
        <v>2062</v>
      </c>
      <c r="C217" s="2" t="s">
        <v>1076</v>
      </c>
      <c r="D217" s="2" t="n">
        <v>2025</v>
      </c>
      <c r="E217" s="2" t="s">
        <v>40</v>
      </c>
      <c r="F217" s="2" t="s">
        <v>41</v>
      </c>
      <c r="G217" s="2" t="s">
        <v>1592</v>
      </c>
      <c r="H217" s="2" t="s">
        <v>42</v>
      </c>
      <c r="I217" s="2" t="n">
        <v>0</v>
      </c>
    </row>
    <row r="218" customFormat="false" ht="15" hidden="false" customHeight="false" outlineLevel="0" collapsed="false">
      <c r="A218" s="2" t="s">
        <v>2063</v>
      </c>
      <c r="B218" s="2" t="s">
        <v>2064</v>
      </c>
      <c r="C218" s="2" t="s">
        <v>1084</v>
      </c>
      <c r="D218" s="2" t="n">
        <v>2025</v>
      </c>
      <c r="E218" s="2" t="s">
        <v>12</v>
      </c>
      <c r="F218" s="2" t="s">
        <v>26</v>
      </c>
      <c r="G218" s="2" t="s">
        <v>1592</v>
      </c>
      <c r="H218" s="2" t="s">
        <v>28</v>
      </c>
      <c r="I218" s="2" t="n">
        <v>0</v>
      </c>
    </row>
    <row r="219" customFormat="false" ht="15" hidden="false" customHeight="false" outlineLevel="0" collapsed="false">
      <c r="A219" s="2" t="s">
        <v>2065</v>
      </c>
      <c r="B219" s="2" t="s">
        <v>2066</v>
      </c>
      <c r="C219" s="2" t="s">
        <v>2067</v>
      </c>
      <c r="D219" s="2" t="n">
        <v>2025</v>
      </c>
      <c r="E219" s="2" t="s">
        <v>12</v>
      </c>
      <c r="F219" s="2" t="s">
        <v>64</v>
      </c>
      <c r="G219" s="2" t="s">
        <v>1592</v>
      </c>
      <c r="H219" s="2" t="s">
        <v>65</v>
      </c>
      <c r="I219" s="2" t="n">
        <v>1</v>
      </c>
    </row>
    <row r="220" customFormat="false" ht="15" hidden="false" customHeight="false" outlineLevel="0" collapsed="false">
      <c r="A220" s="2" t="s">
        <v>2068</v>
      </c>
      <c r="B220" s="2" t="s">
        <v>2069</v>
      </c>
      <c r="C220" s="2" t="s">
        <v>1089</v>
      </c>
      <c r="D220" s="2" t="n">
        <v>2025</v>
      </c>
      <c r="E220" s="2" t="s">
        <v>12</v>
      </c>
      <c r="F220" s="2" t="s">
        <v>82</v>
      </c>
      <c r="G220" s="2" t="s">
        <v>1592</v>
      </c>
      <c r="H220" s="2" t="s">
        <v>83</v>
      </c>
      <c r="I220" s="2" t="n">
        <v>0</v>
      </c>
    </row>
    <row r="221" customFormat="false" ht="15" hidden="false" customHeight="false" outlineLevel="0" collapsed="false">
      <c r="A221" s="2" t="s">
        <v>2070</v>
      </c>
      <c r="B221" s="2" t="s">
        <v>2071</v>
      </c>
      <c r="C221" s="2" t="s">
        <v>1089</v>
      </c>
      <c r="D221" s="2" t="n">
        <v>2025</v>
      </c>
      <c r="E221" s="2" t="s">
        <v>40</v>
      </c>
      <c r="F221" s="2" t="s">
        <v>41</v>
      </c>
      <c r="G221" s="2" t="s">
        <v>1592</v>
      </c>
      <c r="H221" s="2" t="s">
        <v>42</v>
      </c>
      <c r="I221" s="2" t="n">
        <v>0</v>
      </c>
    </row>
    <row r="222" customFormat="false" ht="15" hidden="false" customHeight="false" outlineLevel="0" collapsed="false">
      <c r="A222" s="2" t="s">
        <v>2072</v>
      </c>
      <c r="B222" s="2" t="s">
        <v>2073</v>
      </c>
      <c r="C222" s="2" t="s">
        <v>1089</v>
      </c>
      <c r="D222" s="2" t="n">
        <v>2025</v>
      </c>
      <c r="E222" s="2" t="s">
        <v>40</v>
      </c>
      <c r="F222" s="2" t="s">
        <v>41</v>
      </c>
      <c r="G222" s="2" t="s">
        <v>1592</v>
      </c>
      <c r="H222" s="2" t="s">
        <v>337</v>
      </c>
      <c r="I222" s="2" t="n">
        <v>0</v>
      </c>
    </row>
    <row r="223" customFormat="false" ht="15" hidden="false" customHeight="false" outlineLevel="0" collapsed="false">
      <c r="A223" s="2" t="s">
        <v>2074</v>
      </c>
      <c r="B223" s="2" t="s">
        <v>2075</v>
      </c>
      <c r="C223" s="2" t="s">
        <v>2076</v>
      </c>
      <c r="D223" s="2" t="n">
        <v>2025</v>
      </c>
      <c r="E223" s="2" t="s">
        <v>12</v>
      </c>
      <c r="F223" s="2" t="s">
        <v>26</v>
      </c>
      <c r="G223" s="2" t="s">
        <v>1592</v>
      </c>
      <c r="H223" s="2" t="s">
        <v>28</v>
      </c>
      <c r="I223" s="2" t="n">
        <v>0</v>
      </c>
    </row>
    <row r="224" customFormat="false" ht="15" hidden="false" customHeight="false" outlineLevel="0" collapsed="false">
      <c r="A224" s="2" t="s">
        <v>2077</v>
      </c>
      <c r="B224" s="2" t="s">
        <v>2078</v>
      </c>
      <c r="C224" s="2" t="s">
        <v>2079</v>
      </c>
      <c r="D224" s="2" t="n">
        <v>2025</v>
      </c>
      <c r="E224" s="2" t="s">
        <v>12</v>
      </c>
      <c r="F224" s="2" t="s">
        <v>155</v>
      </c>
      <c r="G224" s="2" t="s">
        <v>1592</v>
      </c>
      <c r="H224" s="2" t="s">
        <v>1881</v>
      </c>
      <c r="I224" s="2" t="n">
        <v>0</v>
      </c>
    </row>
    <row r="225" customFormat="false" ht="15" hidden="false" customHeight="false" outlineLevel="0" collapsed="false">
      <c r="A225" s="2" t="s">
        <v>2080</v>
      </c>
      <c r="B225" s="2" t="s">
        <v>2081</v>
      </c>
      <c r="C225" s="2" t="s">
        <v>2079</v>
      </c>
      <c r="D225" s="2" t="n">
        <v>2025</v>
      </c>
      <c r="E225" s="2" t="s">
        <v>12</v>
      </c>
      <c r="F225" s="2" t="s">
        <v>82</v>
      </c>
      <c r="G225" s="2" t="s">
        <v>1592</v>
      </c>
      <c r="H225" s="2" t="s">
        <v>83</v>
      </c>
      <c r="I225" s="2" t="n">
        <v>0</v>
      </c>
    </row>
    <row r="226" customFormat="false" ht="15" hidden="false" customHeight="false" outlineLevel="0" collapsed="false">
      <c r="A226" s="2" t="s">
        <v>2082</v>
      </c>
      <c r="B226" s="2" t="s">
        <v>2083</v>
      </c>
      <c r="C226" s="2" t="s">
        <v>2079</v>
      </c>
      <c r="D226" s="2" t="n">
        <v>2025</v>
      </c>
      <c r="E226" s="2" t="s">
        <v>12</v>
      </c>
      <c r="F226" s="2" t="s">
        <v>13</v>
      </c>
      <c r="G226" s="2" t="s">
        <v>1592</v>
      </c>
      <c r="H226" s="2" t="s">
        <v>15</v>
      </c>
      <c r="I226" s="2" t="n">
        <v>6</v>
      </c>
    </row>
    <row r="227" customFormat="false" ht="15" hidden="false" customHeight="false" outlineLevel="0" collapsed="false">
      <c r="A227" s="2" t="s">
        <v>2084</v>
      </c>
      <c r="B227" s="2" t="s">
        <v>2085</v>
      </c>
      <c r="C227" s="2" t="s">
        <v>2086</v>
      </c>
      <c r="D227" s="2" t="n">
        <v>2025</v>
      </c>
      <c r="E227" s="2" t="s">
        <v>12</v>
      </c>
      <c r="F227" s="2" t="s">
        <v>64</v>
      </c>
      <c r="G227" s="2" t="s">
        <v>1592</v>
      </c>
      <c r="H227" s="2" t="s">
        <v>65</v>
      </c>
      <c r="I227" s="2" t="n">
        <v>23</v>
      </c>
    </row>
    <row r="228" customFormat="false" ht="15" hidden="false" customHeight="false" outlineLevel="0" collapsed="false">
      <c r="A228" s="2" t="s">
        <v>2087</v>
      </c>
      <c r="B228" s="2" t="s">
        <v>2088</v>
      </c>
      <c r="C228" s="2" t="s">
        <v>2089</v>
      </c>
      <c r="D228" s="2" t="n">
        <v>2025</v>
      </c>
      <c r="E228" s="2" t="s">
        <v>12</v>
      </c>
      <c r="F228" s="2" t="s">
        <v>908</v>
      </c>
      <c r="G228" s="2" t="s">
        <v>1592</v>
      </c>
      <c r="H228" s="2" t="s">
        <v>909</v>
      </c>
      <c r="I228" s="2" t="n">
        <v>0</v>
      </c>
    </row>
    <row r="229" customFormat="false" ht="15" hidden="false" customHeight="false" outlineLevel="0" collapsed="false">
      <c r="A229" s="2" t="s">
        <v>2090</v>
      </c>
      <c r="B229" s="2" t="s">
        <v>2091</v>
      </c>
      <c r="C229" s="2" t="s">
        <v>1107</v>
      </c>
      <c r="D229" s="2" t="n">
        <v>2025</v>
      </c>
      <c r="E229" s="2" t="s">
        <v>12</v>
      </c>
      <c r="F229" s="2" t="s">
        <v>13</v>
      </c>
      <c r="G229" s="2" t="s">
        <v>1592</v>
      </c>
      <c r="H229" s="2" t="s">
        <v>15</v>
      </c>
      <c r="I229" s="2" t="n">
        <v>10</v>
      </c>
    </row>
    <row r="230" customFormat="false" ht="15" hidden="false" customHeight="false" outlineLevel="0" collapsed="false">
      <c r="A230" s="2" t="s">
        <v>2092</v>
      </c>
      <c r="B230" s="2" t="s">
        <v>2093</v>
      </c>
      <c r="C230" s="2" t="s">
        <v>1115</v>
      </c>
      <c r="D230" s="2" t="n">
        <v>2025</v>
      </c>
      <c r="E230" s="2" t="s">
        <v>12</v>
      </c>
      <c r="F230" s="2" t="s">
        <v>64</v>
      </c>
      <c r="G230" s="2" t="s">
        <v>1592</v>
      </c>
      <c r="H230" s="2" t="s">
        <v>65</v>
      </c>
      <c r="I230" s="2" t="n">
        <v>0</v>
      </c>
    </row>
    <row r="231" customFormat="false" ht="15" hidden="false" customHeight="false" outlineLevel="0" collapsed="false">
      <c r="A231" s="2" t="s">
        <v>2094</v>
      </c>
      <c r="B231" s="2" t="s">
        <v>2095</v>
      </c>
      <c r="C231" s="2" t="s">
        <v>1115</v>
      </c>
      <c r="D231" s="2" t="n">
        <v>2025</v>
      </c>
      <c r="E231" s="2" t="s">
        <v>12</v>
      </c>
      <c r="F231" s="2" t="s">
        <v>55</v>
      </c>
      <c r="G231" s="2" t="s">
        <v>1592</v>
      </c>
      <c r="H231" s="2" t="s">
        <v>56</v>
      </c>
      <c r="I231" s="2" t="n">
        <v>1</v>
      </c>
    </row>
    <row r="232" customFormat="false" ht="15" hidden="false" customHeight="false" outlineLevel="0" collapsed="false">
      <c r="A232" s="2" t="s">
        <v>2096</v>
      </c>
      <c r="B232" s="2" t="s">
        <v>2097</v>
      </c>
      <c r="C232" s="2" t="s">
        <v>1135</v>
      </c>
      <c r="D232" s="2" t="n">
        <v>2025</v>
      </c>
      <c r="E232" s="2" t="s">
        <v>12</v>
      </c>
      <c r="F232" s="2" t="s">
        <v>64</v>
      </c>
      <c r="G232" s="2" t="s">
        <v>1592</v>
      </c>
      <c r="H232" s="2" t="s">
        <v>65</v>
      </c>
      <c r="I232" s="2" t="n">
        <v>1</v>
      </c>
    </row>
    <row r="233" customFormat="false" ht="15" hidden="false" customHeight="false" outlineLevel="0" collapsed="false">
      <c r="A233" s="2" t="s">
        <v>2098</v>
      </c>
      <c r="B233" s="2" t="s">
        <v>2099</v>
      </c>
      <c r="C233" s="2" t="s">
        <v>1138</v>
      </c>
      <c r="D233" s="2" t="n">
        <v>2025</v>
      </c>
      <c r="E233" s="2" t="s">
        <v>12</v>
      </c>
      <c r="F233" s="2" t="s">
        <v>82</v>
      </c>
      <c r="G233" s="2" t="s">
        <v>1592</v>
      </c>
      <c r="H233" s="2" t="s">
        <v>83</v>
      </c>
      <c r="I233" s="2" t="n">
        <v>0</v>
      </c>
    </row>
    <row r="234" customFormat="false" ht="15" hidden="false" customHeight="false" outlineLevel="0" collapsed="false">
      <c r="A234" s="2" t="s">
        <v>2100</v>
      </c>
      <c r="B234" s="2" t="s">
        <v>2101</v>
      </c>
      <c r="C234" s="2" t="s">
        <v>1141</v>
      </c>
      <c r="D234" s="2" t="n">
        <v>2025</v>
      </c>
      <c r="E234" s="2" t="s">
        <v>12</v>
      </c>
      <c r="F234" s="2" t="s">
        <v>64</v>
      </c>
      <c r="G234" s="2" t="s">
        <v>1592</v>
      </c>
      <c r="H234" s="2" t="s">
        <v>65</v>
      </c>
      <c r="I234" s="2" t="n">
        <v>0</v>
      </c>
    </row>
    <row r="235" customFormat="false" ht="15" hidden="false" customHeight="false" outlineLevel="0" collapsed="false">
      <c r="A235" s="2" t="s">
        <v>2102</v>
      </c>
      <c r="B235" s="2" t="s">
        <v>2103</v>
      </c>
      <c r="C235" s="2" t="s">
        <v>1154</v>
      </c>
      <c r="D235" s="2" t="n">
        <v>2025</v>
      </c>
      <c r="E235" s="2" t="s">
        <v>46</v>
      </c>
      <c r="F235" s="2" t="s">
        <v>26</v>
      </c>
      <c r="G235" s="2" t="s">
        <v>1592</v>
      </c>
      <c r="H235" s="2" t="s">
        <v>28</v>
      </c>
      <c r="I235" s="2" t="n">
        <v>0</v>
      </c>
    </row>
    <row r="236" customFormat="false" ht="15" hidden="false" customHeight="false" outlineLevel="0" collapsed="false">
      <c r="A236" s="2" t="s">
        <v>2104</v>
      </c>
      <c r="B236" s="2" t="s">
        <v>2105</v>
      </c>
      <c r="C236" s="2" t="s">
        <v>1157</v>
      </c>
      <c r="D236" s="2" t="n">
        <v>2025</v>
      </c>
      <c r="E236" s="2" t="s">
        <v>12</v>
      </c>
      <c r="F236" s="2" t="s">
        <v>64</v>
      </c>
      <c r="G236" s="2" t="s">
        <v>1592</v>
      </c>
      <c r="H236" s="2" t="s">
        <v>65</v>
      </c>
      <c r="I236" s="2" t="n">
        <v>0</v>
      </c>
    </row>
    <row r="237" customFormat="false" ht="15" hidden="false" customHeight="false" outlineLevel="0" collapsed="false">
      <c r="A237" s="2" t="s">
        <v>2106</v>
      </c>
      <c r="B237" s="2" t="s">
        <v>2107</v>
      </c>
      <c r="C237" s="2" t="s">
        <v>1160</v>
      </c>
      <c r="D237" s="2" t="n">
        <v>2025</v>
      </c>
      <c r="E237" s="2" t="s">
        <v>12</v>
      </c>
      <c r="F237" s="2" t="s">
        <v>55</v>
      </c>
      <c r="G237" s="2" t="s">
        <v>1592</v>
      </c>
      <c r="H237" s="2" t="s">
        <v>56</v>
      </c>
      <c r="I237" s="2" t="n">
        <v>2</v>
      </c>
    </row>
    <row r="238" customFormat="false" ht="15" hidden="false" customHeight="false" outlineLevel="0" collapsed="false">
      <c r="A238" s="2" t="s">
        <v>2108</v>
      </c>
      <c r="B238" s="2" t="s">
        <v>2109</v>
      </c>
      <c r="C238" s="2" t="s">
        <v>1160</v>
      </c>
      <c r="D238" s="2" t="n">
        <v>2025</v>
      </c>
      <c r="E238" s="2" t="s">
        <v>12</v>
      </c>
      <c r="F238" s="2" t="s">
        <v>13</v>
      </c>
      <c r="G238" s="2" t="s">
        <v>1592</v>
      </c>
      <c r="H238" s="2" t="s">
        <v>15</v>
      </c>
      <c r="I238" s="2" t="n">
        <v>5</v>
      </c>
    </row>
    <row r="239" customFormat="false" ht="15" hidden="false" customHeight="false" outlineLevel="0" collapsed="false">
      <c r="A239" s="2" t="s">
        <v>2110</v>
      </c>
      <c r="B239" s="2" t="s">
        <v>2111</v>
      </c>
      <c r="C239" s="2" t="s">
        <v>1165</v>
      </c>
      <c r="D239" s="2" t="n">
        <v>2025</v>
      </c>
      <c r="E239" s="2" t="s">
        <v>46</v>
      </c>
      <c r="F239" s="2" t="s">
        <v>26</v>
      </c>
      <c r="G239" s="2" t="s">
        <v>1592</v>
      </c>
      <c r="H239" s="2" t="s">
        <v>28</v>
      </c>
      <c r="I239" s="2" t="n">
        <v>0</v>
      </c>
    </row>
    <row r="240" customFormat="false" ht="15" hidden="false" customHeight="false" outlineLevel="0" collapsed="false">
      <c r="A240" s="2" t="s">
        <v>2112</v>
      </c>
      <c r="B240" s="2" t="s">
        <v>2113</v>
      </c>
      <c r="C240" s="2" t="s">
        <v>1168</v>
      </c>
      <c r="D240" s="2" t="n">
        <v>2024</v>
      </c>
      <c r="E240" s="2" t="s">
        <v>12</v>
      </c>
      <c r="F240" s="2" t="s">
        <v>64</v>
      </c>
      <c r="G240" s="2" t="s">
        <v>1592</v>
      </c>
      <c r="H240" s="2" t="s">
        <v>65</v>
      </c>
      <c r="I240" s="2" t="n">
        <v>4</v>
      </c>
    </row>
    <row r="241" customFormat="false" ht="15" hidden="false" customHeight="false" outlineLevel="0" collapsed="false">
      <c r="A241" s="2" t="s">
        <v>2114</v>
      </c>
      <c r="B241" s="2" t="s">
        <v>2115</v>
      </c>
      <c r="C241" s="2" t="s">
        <v>1168</v>
      </c>
      <c r="D241" s="2" t="n">
        <v>2024</v>
      </c>
      <c r="E241" s="2" t="s">
        <v>12</v>
      </c>
      <c r="F241" s="2" t="s">
        <v>64</v>
      </c>
      <c r="G241" s="2" t="s">
        <v>1592</v>
      </c>
      <c r="H241" s="2" t="s">
        <v>65</v>
      </c>
      <c r="I241" s="2" t="n">
        <v>3</v>
      </c>
    </row>
    <row r="242" customFormat="false" ht="15" hidden="false" customHeight="false" outlineLevel="0" collapsed="false">
      <c r="A242" s="2" t="s">
        <v>2116</v>
      </c>
      <c r="B242" s="2" t="s">
        <v>2117</v>
      </c>
      <c r="C242" s="2" t="s">
        <v>1168</v>
      </c>
      <c r="D242" s="2" t="n">
        <v>2024</v>
      </c>
      <c r="E242" s="2" t="s">
        <v>12</v>
      </c>
      <c r="F242" s="2" t="s">
        <v>64</v>
      </c>
      <c r="G242" s="2" t="s">
        <v>1592</v>
      </c>
      <c r="H242" s="2" t="s">
        <v>65</v>
      </c>
      <c r="I242" s="2" t="n">
        <v>1</v>
      </c>
    </row>
    <row r="243" customFormat="false" ht="15" hidden="false" customHeight="false" outlineLevel="0" collapsed="false">
      <c r="A243" s="2" t="s">
        <v>2118</v>
      </c>
      <c r="B243" s="2" t="s">
        <v>2119</v>
      </c>
      <c r="C243" s="2" t="s">
        <v>1168</v>
      </c>
      <c r="D243" s="2" t="n">
        <v>2024</v>
      </c>
      <c r="E243" s="2" t="s">
        <v>12</v>
      </c>
      <c r="F243" s="2" t="s">
        <v>64</v>
      </c>
      <c r="G243" s="2" t="s">
        <v>1592</v>
      </c>
      <c r="H243" s="2" t="s">
        <v>65</v>
      </c>
      <c r="I243" s="2" t="n">
        <v>0</v>
      </c>
    </row>
    <row r="244" customFormat="false" ht="15" hidden="false" customHeight="false" outlineLevel="0" collapsed="false">
      <c r="A244" s="2" t="s">
        <v>2120</v>
      </c>
      <c r="B244" s="2" t="s">
        <v>2121</v>
      </c>
      <c r="C244" s="2" t="s">
        <v>2122</v>
      </c>
      <c r="D244" s="2" t="n">
        <v>2024</v>
      </c>
      <c r="E244" s="2" t="s">
        <v>46</v>
      </c>
      <c r="F244" s="2" t="s">
        <v>26</v>
      </c>
      <c r="G244" s="2" t="s">
        <v>1592</v>
      </c>
      <c r="H244" s="2" t="s">
        <v>28</v>
      </c>
      <c r="I244" s="2" t="n">
        <v>0</v>
      </c>
    </row>
    <row r="245" customFormat="false" ht="15" hidden="false" customHeight="false" outlineLevel="0" collapsed="false">
      <c r="A245" s="2" t="s">
        <v>2123</v>
      </c>
      <c r="B245" s="2" t="s">
        <v>2124</v>
      </c>
      <c r="C245" s="2" t="s">
        <v>2125</v>
      </c>
      <c r="D245" s="2" t="n">
        <v>2024</v>
      </c>
      <c r="E245" s="2" t="s">
        <v>12</v>
      </c>
      <c r="F245" s="2" t="s">
        <v>64</v>
      </c>
      <c r="G245" s="2" t="s">
        <v>1592</v>
      </c>
      <c r="H245" s="2" t="s">
        <v>65</v>
      </c>
      <c r="I245" s="2" t="n">
        <v>5</v>
      </c>
    </row>
    <row r="246" customFormat="false" ht="15" hidden="false" customHeight="false" outlineLevel="0" collapsed="false">
      <c r="A246" s="2" t="s">
        <v>2126</v>
      </c>
      <c r="B246" s="2" t="s">
        <v>2127</v>
      </c>
      <c r="C246" s="2" t="s">
        <v>2125</v>
      </c>
      <c r="D246" s="2" t="n">
        <v>2024</v>
      </c>
      <c r="E246" s="2" t="s">
        <v>12</v>
      </c>
      <c r="F246" s="2" t="s">
        <v>64</v>
      </c>
      <c r="G246" s="2" t="s">
        <v>1592</v>
      </c>
      <c r="H246" s="2" t="s">
        <v>65</v>
      </c>
      <c r="I246" s="2" t="n">
        <v>2</v>
      </c>
    </row>
    <row r="247" customFormat="false" ht="15" hidden="false" customHeight="false" outlineLevel="0" collapsed="false">
      <c r="A247" s="2" t="s">
        <v>2128</v>
      </c>
      <c r="B247" s="2" t="s">
        <v>2129</v>
      </c>
      <c r="C247" s="2" t="s">
        <v>2125</v>
      </c>
      <c r="D247" s="2" t="n">
        <v>2024</v>
      </c>
      <c r="E247" s="2" t="s">
        <v>12</v>
      </c>
      <c r="F247" s="2" t="s">
        <v>64</v>
      </c>
      <c r="G247" s="2" t="s">
        <v>1592</v>
      </c>
      <c r="H247" s="2" t="s">
        <v>65</v>
      </c>
      <c r="I247" s="2" t="n">
        <v>0</v>
      </c>
    </row>
    <row r="248" customFormat="false" ht="15" hidden="false" customHeight="false" outlineLevel="0" collapsed="false">
      <c r="A248" s="2" t="s">
        <v>2130</v>
      </c>
      <c r="B248" s="2" t="s">
        <v>2131</v>
      </c>
      <c r="C248" s="2" t="s">
        <v>1188</v>
      </c>
      <c r="D248" s="2" t="n">
        <v>2024</v>
      </c>
      <c r="E248" s="2" t="s">
        <v>12</v>
      </c>
      <c r="F248" s="2" t="s">
        <v>26</v>
      </c>
      <c r="G248" s="2" t="s">
        <v>1592</v>
      </c>
      <c r="H248" s="2" t="s">
        <v>28</v>
      </c>
      <c r="I248" s="2" t="n">
        <v>0</v>
      </c>
    </row>
    <row r="249" customFormat="false" ht="15" hidden="false" customHeight="false" outlineLevel="0" collapsed="false">
      <c r="A249" s="2" t="s">
        <v>2132</v>
      </c>
      <c r="B249" s="2" t="s">
        <v>2133</v>
      </c>
      <c r="C249" s="2" t="s">
        <v>2134</v>
      </c>
      <c r="D249" s="2" t="n">
        <v>2024</v>
      </c>
      <c r="E249" s="2" t="s">
        <v>12</v>
      </c>
      <c r="F249" s="2" t="s">
        <v>64</v>
      </c>
      <c r="G249" s="2" t="s">
        <v>1592</v>
      </c>
      <c r="H249" s="2" t="s">
        <v>65</v>
      </c>
      <c r="I249" s="2" t="n">
        <v>0</v>
      </c>
    </row>
    <row r="250" customFormat="false" ht="15" hidden="false" customHeight="false" outlineLevel="0" collapsed="false">
      <c r="A250" s="2" t="s">
        <v>2135</v>
      </c>
      <c r="B250" s="2" t="s">
        <v>2136</v>
      </c>
      <c r="C250" s="2" t="s">
        <v>2137</v>
      </c>
      <c r="D250" s="2" t="n">
        <v>2024</v>
      </c>
      <c r="E250" s="2" t="s">
        <v>12</v>
      </c>
      <c r="F250" s="2" t="s">
        <v>64</v>
      </c>
      <c r="G250" s="2" t="s">
        <v>1592</v>
      </c>
      <c r="H250" s="2" t="s">
        <v>65</v>
      </c>
      <c r="I250" s="2" t="n">
        <v>5</v>
      </c>
    </row>
    <row r="251" customFormat="false" ht="15" hidden="false" customHeight="false" outlineLevel="0" collapsed="false">
      <c r="A251" s="2" t="s">
        <v>2138</v>
      </c>
      <c r="B251" s="2" t="s">
        <v>2139</v>
      </c>
      <c r="C251" s="2" t="s">
        <v>1200</v>
      </c>
      <c r="D251" s="2" t="n">
        <v>2024</v>
      </c>
      <c r="E251" s="2" t="s">
        <v>12</v>
      </c>
      <c r="F251" s="2" t="s">
        <v>64</v>
      </c>
      <c r="G251" s="2" t="s">
        <v>1592</v>
      </c>
      <c r="H251" s="2" t="s">
        <v>65</v>
      </c>
      <c r="I251" s="2" t="n">
        <v>2</v>
      </c>
    </row>
    <row r="252" customFormat="false" ht="15" hidden="false" customHeight="false" outlineLevel="0" collapsed="false">
      <c r="A252" s="2" t="s">
        <v>2140</v>
      </c>
      <c r="B252" s="2" t="s">
        <v>2141</v>
      </c>
      <c r="C252" s="2" t="s">
        <v>1206</v>
      </c>
      <c r="D252" s="2" t="n">
        <v>2024</v>
      </c>
      <c r="E252" s="2" t="s">
        <v>12</v>
      </c>
      <c r="F252" s="2" t="s">
        <v>64</v>
      </c>
      <c r="G252" s="2" t="s">
        <v>1592</v>
      </c>
      <c r="H252" s="2" t="s">
        <v>65</v>
      </c>
      <c r="I252" s="2" t="n">
        <v>0</v>
      </c>
    </row>
    <row r="253" customFormat="false" ht="15" hidden="false" customHeight="false" outlineLevel="0" collapsed="false">
      <c r="A253" s="2" t="s">
        <v>2142</v>
      </c>
      <c r="B253" s="2" t="s">
        <v>2143</v>
      </c>
      <c r="C253" s="2" t="s">
        <v>2144</v>
      </c>
      <c r="D253" s="2" t="n">
        <v>2024</v>
      </c>
      <c r="E253" s="2" t="s">
        <v>46</v>
      </c>
      <c r="F253" s="2" t="s">
        <v>26</v>
      </c>
      <c r="G253" s="2" t="s">
        <v>1592</v>
      </c>
      <c r="H253" s="2" t="s">
        <v>28</v>
      </c>
      <c r="I253" s="2" t="n">
        <v>0</v>
      </c>
    </row>
    <row r="254" customFormat="false" ht="15" hidden="false" customHeight="false" outlineLevel="0" collapsed="false">
      <c r="A254" s="2" t="s">
        <v>2145</v>
      </c>
      <c r="B254" s="2" t="s">
        <v>2146</v>
      </c>
      <c r="C254" s="2" t="s">
        <v>1215</v>
      </c>
      <c r="D254" s="2" t="n">
        <v>2024</v>
      </c>
      <c r="E254" s="2" t="s">
        <v>12</v>
      </c>
      <c r="F254" s="2" t="s">
        <v>2147</v>
      </c>
      <c r="G254" s="2" t="s">
        <v>1592</v>
      </c>
      <c r="H254" s="2" t="s">
        <v>2148</v>
      </c>
      <c r="I254" s="2" t="n">
        <v>0</v>
      </c>
    </row>
    <row r="255" customFormat="false" ht="15" hidden="false" customHeight="false" outlineLevel="0" collapsed="false">
      <c r="A255" s="2" t="s">
        <v>2149</v>
      </c>
      <c r="B255" s="2" t="s">
        <v>2150</v>
      </c>
      <c r="C255" s="2" t="s">
        <v>1215</v>
      </c>
      <c r="D255" s="2" t="n">
        <v>2024</v>
      </c>
      <c r="E255" s="2" t="s">
        <v>12</v>
      </c>
      <c r="F255" s="2" t="s">
        <v>64</v>
      </c>
      <c r="G255" s="2" t="s">
        <v>1592</v>
      </c>
      <c r="H255" s="2" t="s">
        <v>65</v>
      </c>
      <c r="I255" s="2" t="n">
        <v>6</v>
      </c>
    </row>
    <row r="256" customFormat="false" ht="15" hidden="false" customHeight="false" outlineLevel="0" collapsed="false">
      <c r="A256" s="2" t="s">
        <v>2151</v>
      </c>
      <c r="B256" s="2" t="s">
        <v>2152</v>
      </c>
      <c r="C256" s="2" t="s">
        <v>1221</v>
      </c>
      <c r="D256" s="2" t="n">
        <v>2024</v>
      </c>
      <c r="E256" s="2" t="s">
        <v>46</v>
      </c>
      <c r="F256" s="2" t="s">
        <v>26</v>
      </c>
      <c r="G256" s="2" t="s">
        <v>1592</v>
      </c>
      <c r="H256" s="2" t="s">
        <v>28</v>
      </c>
      <c r="I256" s="2" t="n">
        <v>0</v>
      </c>
    </row>
    <row r="257" customFormat="false" ht="15" hidden="false" customHeight="false" outlineLevel="0" collapsed="false">
      <c r="A257" s="2" t="s">
        <v>2153</v>
      </c>
      <c r="B257" s="2" t="s">
        <v>2154</v>
      </c>
      <c r="C257" s="2" t="s">
        <v>2155</v>
      </c>
      <c r="D257" s="2" t="n">
        <v>2024</v>
      </c>
      <c r="E257" s="2" t="s">
        <v>12</v>
      </c>
      <c r="F257" s="2" t="s">
        <v>55</v>
      </c>
      <c r="G257" s="2" t="s">
        <v>1592</v>
      </c>
      <c r="H257" s="2" t="s">
        <v>56</v>
      </c>
      <c r="I257" s="2" t="n">
        <v>0</v>
      </c>
    </row>
    <row r="258" customFormat="false" ht="15" hidden="false" customHeight="false" outlineLevel="0" collapsed="false">
      <c r="A258" s="2" t="s">
        <v>2156</v>
      </c>
      <c r="B258" s="2" t="s">
        <v>2157</v>
      </c>
      <c r="C258" s="2" t="s">
        <v>1224</v>
      </c>
      <c r="D258" s="2" t="n">
        <v>2024</v>
      </c>
      <c r="E258" s="2" t="s">
        <v>12</v>
      </c>
      <c r="F258" s="2" t="s">
        <v>64</v>
      </c>
      <c r="G258" s="2" t="s">
        <v>1592</v>
      </c>
      <c r="H258" s="2" t="s">
        <v>65</v>
      </c>
      <c r="I258" s="2" t="n">
        <v>0</v>
      </c>
    </row>
    <row r="259" customFormat="false" ht="15" hidden="false" customHeight="false" outlineLevel="0" collapsed="false">
      <c r="A259" s="2" t="s">
        <v>2158</v>
      </c>
      <c r="B259" s="2" t="s">
        <v>2159</v>
      </c>
      <c r="C259" s="2" t="s">
        <v>1227</v>
      </c>
      <c r="D259" s="2" t="n">
        <v>2024</v>
      </c>
      <c r="E259" s="2" t="s">
        <v>12</v>
      </c>
      <c r="F259" s="2" t="s">
        <v>64</v>
      </c>
      <c r="G259" s="2" t="s">
        <v>1592</v>
      </c>
      <c r="H259" s="2" t="s">
        <v>65</v>
      </c>
      <c r="I259" s="2" t="n">
        <v>0</v>
      </c>
    </row>
    <row r="260" customFormat="false" ht="15" hidden="false" customHeight="false" outlineLevel="0" collapsed="false">
      <c r="A260" s="2" t="s">
        <v>2160</v>
      </c>
      <c r="B260" s="2" t="s">
        <v>2161</v>
      </c>
      <c r="C260" s="2" t="s">
        <v>1227</v>
      </c>
      <c r="D260" s="2" t="n">
        <v>2024</v>
      </c>
      <c r="E260" s="2" t="s">
        <v>12</v>
      </c>
      <c r="F260" s="2" t="s">
        <v>64</v>
      </c>
      <c r="G260" s="2" t="s">
        <v>1592</v>
      </c>
      <c r="H260" s="2" t="s">
        <v>65</v>
      </c>
      <c r="I260" s="2" t="n">
        <v>0</v>
      </c>
    </row>
    <row r="261" customFormat="false" ht="15" hidden="false" customHeight="false" outlineLevel="0" collapsed="false">
      <c r="A261" s="2" t="s">
        <v>2162</v>
      </c>
      <c r="B261" s="2" t="s">
        <v>2163</v>
      </c>
      <c r="C261" s="2" t="s">
        <v>2164</v>
      </c>
      <c r="D261" s="2" t="n">
        <v>2024</v>
      </c>
      <c r="E261" s="2" t="s">
        <v>12</v>
      </c>
      <c r="F261" s="2" t="s">
        <v>82</v>
      </c>
      <c r="G261" s="2" t="s">
        <v>1592</v>
      </c>
      <c r="H261" s="2" t="s">
        <v>83</v>
      </c>
      <c r="I261" s="2" t="n">
        <v>0</v>
      </c>
    </row>
    <row r="262" customFormat="false" ht="15" hidden="false" customHeight="false" outlineLevel="0" collapsed="false">
      <c r="A262" s="2" t="s">
        <v>2165</v>
      </c>
      <c r="B262" s="2" t="s">
        <v>2166</v>
      </c>
      <c r="C262" s="2" t="s">
        <v>2167</v>
      </c>
      <c r="D262" s="2" t="n">
        <v>2024</v>
      </c>
      <c r="E262" s="2" t="s">
        <v>12</v>
      </c>
      <c r="F262" s="2" t="s">
        <v>908</v>
      </c>
      <c r="G262" s="2" t="s">
        <v>1592</v>
      </c>
      <c r="H262" s="2" t="s">
        <v>909</v>
      </c>
      <c r="I262" s="2" t="n">
        <v>0</v>
      </c>
    </row>
    <row r="263" customFormat="false" ht="15" hidden="false" customHeight="false" outlineLevel="0" collapsed="false">
      <c r="A263" s="2" t="s">
        <v>2168</v>
      </c>
      <c r="B263" s="2" t="s">
        <v>2169</v>
      </c>
      <c r="C263" s="2" t="s">
        <v>1240</v>
      </c>
      <c r="D263" s="2" t="n">
        <v>2024</v>
      </c>
      <c r="E263" s="2" t="s">
        <v>12</v>
      </c>
      <c r="F263" s="2" t="s">
        <v>64</v>
      </c>
      <c r="G263" s="2" t="s">
        <v>1592</v>
      </c>
      <c r="H263" s="2" t="s">
        <v>65</v>
      </c>
      <c r="I263" s="2" t="n">
        <v>2</v>
      </c>
    </row>
    <row r="264" customFormat="false" ht="15" hidden="false" customHeight="false" outlineLevel="0" collapsed="false">
      <c r="A264" s="2" t="s">
        <v>2170</v>
      </c>
      <c r="B264" s="2" t="s">
        <v>2171</v>
      </c>
      <c r="C264" s="2" t="s">
        <v>2172</v>
      </c>
      <c r="D264" s="2" t="n">
        <v>2024</v>
      </c>
      <c r="E264" s="2" t="s">
        <v>12</v>
      </c>
      <c r="F264" s="2" t="s">
        <v>64</v>
      </c>
      <c r="G264" s="2" t="s">
        <v>1592</v>
      </c>
      <c r="H264" s="2" t="s">
        <v>65</v>
      </c>
      <c r="I264" s="2" t="n">
        <v>1</v>
      </c>
    </row>
    <row r="265" customFormat="false" ht="15" hidden="false" customHeight="false" outlineLevel="0" collapsed="false">
      <c r="A265" s="2" t="s">
        <v>2173</v>
      </c>
      <c r="B265" s="2" t="s">
        <v>2174</v>
      </c>
      <c r="C265" s="2" t="s">
        <v>2175</v>
      </c>
      <c r="D265" s="2" t="n">
        <v>2024</v>
      </c>
      <c r="E265" s="2" t="s">
        <v>46</v>
      </c>
      <c r="F265" s="2" t="s">
        <v>908</v>
      </c>
      <c r="G265" s="2" t="s">
        <v>1592</v>
      </c>
      <c r="H265" s="2" t="s">
        <v>909</v>
      </c>
      <c r="I265" s="2" t="n">
        <v>0</v>
      </c>
    </row>
    <row r="266" customFormat="false" ht="15" hidden="false" customHeight="false" outlineLevel="0" collapsed="false">
      <c r="A266" s="2" t="s">
        <v>2176</v>
      </c>
      <c r="B266" s="2" t="s">
        <v>2177</v>
      </c>
      <c r="C266" s="2" t="s">
        <v>1252</v>
      </c>
      <c r="D266" s="2" t="n">
        <v>2024</v>
      </c>
      <c r="E266" s="2" t="s">
        <v>12</v>
      </c>
      <c r="F266" s="2" t="s">
        <v>72</v>
      </c>
      <c r="G266" s="2" t="s">
        <v>1592</v>
      </c>
      <c r="H266" s="2" t="s">
        <v>74</v>
      </c>
      <c r="I266" s="2" t="n">
        <v>0</v>
      </c>
    </row>
    <row r="267" customFormat="false" ht="15" hidden="false" customHeight="false" outlineLevel="0" collapsed="false">
      <c r="A267" s="2" t="s">
        <v>2178</v>
      </c>
      <c r="B267" s="2" t="s">
        <v>2179</v>
      </c>
      <c r="C267" s="2" t="s">
        <v>1252</v>
      </c>
      <c r="D267" s="2" t="n">
        <v>2024</v>
      </c>
      <c r="E267" s="2" t="s">
        <v>12</v>
      </c>
      <c r="F267" s="2" t="s">
        <v>64</v>
      </c>
      <c r="G267" s="2" t="s">
        <v>1592</v>
      </c>
      <c r="H267" s="2" t="s">
        <v>65</v>
      </c>
      <c r="I267" s="2" t="n">
        <v>2</v>
      </c>
    </row>
    <row r="268" customFormat="false" ht="15" hidden="false" customHeight="false" outlineLevel="0" collapsed="false">
      <c r="A268" s="2" t="s">
        <v>2180</v>
      </c>
      <c r="B268" s="2" t="s">
        <v>2181</v>
      </c>
      <c r="C268" s="2" t="s">
        <v>2182</v>
      </c>
      <c r="D268" s="2" t="n">
        <v>2024</v>
      </c>
      <c r="E268" s="2" t="s">
        <v>710</v>
      </c>
      <c r="F268" s="2" t="s">
        <v>41</v>
      </c>
      <c r="G268" s="2" t="s">
        <v>1592</v>
      </c>
      <c r="H268" s="2" t="s">
        <v>276</v>
      </c>
      <c r="I268" s="2" t="n">
        <v>0</v>
      </c>
    </row>
    <row r="269" customFormat="false" ht="15" hidden="false" customHeight="false" outlineLevel="0" collapsed="false">
      <c r="A269" s="2" t="s">
        <v>2183</v>
      </c>
      <c r="B269" s="2" t="s">
        <v>2184</v>
      </c>
      <c r="C269" s="2" t="s">
        <v>2185</v>
      </c>
      <c r="D269" s="2" t="n">
        <v>2024</v>
      </c>
      <c r="E269" s="2" t="s">
        <v>46</v>
      </c>
      <c r="F269" s="2" t="s">
        <v>908</v>
      </c>
      <c r="G269" s="2" t="s">
        <v>1592</v>
      </c>
      <c r="H269" s="2" t="s">
        <v>909</v>
      </c>
      <c r="I269" s="2" t="n">
        <v>0</v>
      </c>
    </row>
    <row r="270" customFormat="false" ht="15" hidden="false" customHeight="false" outlineLevel="0" collapsed="false">
      <c r="A270" s="2" t="s">
        <v>2186</v>
      </c>
      <c r="B270" s="2" t="s">
        <v>2187</v>
      </c>
      <c r="C270" s="2" t="s">
        <v>1266</v>
      </c>
      <c r="D270" s="2" t="n">
        <v>2024</v>
      </c>
      <c r="E270" s="2" t="s">
        <v>12</v>
      </c>
      <c r="F270" s="2" t="s">
        <v>64</v>
      </c>
      <c r="G270" s="2" t="s">
        <v>1592</v>
      </c>
      <c r="H270" s="2" t="s">
        <v>65</v>
      </c>
      <c r="I270" s="2" t="n">
        <v>1</v>
      </c>
    </row>
    <row r="271" customFormat="false" ht="15" hidden="false" customHeight="false" outlineLevel="0" collapsed="false">
      <c r="A271" s="2" t="s">
        <v>2188</v>
      </c>
      <c r="B271" s="2" t="s">
        <v>2189</v>
      </c>
      <c r="C271" s="2" t="s">
        <v>1271</v>
      </c>
      <c r="D271" s="2" t="n">
        <v>2024</v>
      </c>
      <c r="E271" s="2" t="s">
        <v>12</v>
      </c>
      <c r="F271" s="2" t="s">
        <v>13</v>
      </c>
      <c r="G271" s="2" t="s">
        <v>1592</v>
      </c>
      <c r="H271" s="2" t="s">
        <v>15</v>
      </c>
      <c r="I271" s="2" t="n">
        <v>1</v>
      </c>
    </row>
    <row r="272" customFormat="false" ht="15" hidden="false" customHeight="false" outlineLevel="0" collapsed="false">
      <c r="A272" s="2" t="s">
        <v>2190</v>
      </c>
      <c r="B272" s="2" t="s">
        <v>2191</v>
      </c>
      <c r="C272" s="2" t="s">
        <v>1271</v>
      </c>
      <c r="D272" s="2" t="n">
        <v>2024</v>
      </c>
      <c r="E272" s="2" t="s">
        <v>12</v>
      </c>
      <c r="F272" s="2" t="s">
        <v>55</v>
      </c>
      <c r="G272" s="2" t="s">
        <v>1592</v>
      </c>
      <c r="H272" s="2" t="s">
        <v>56</v>
      </c>
      <c r="I272" s="2" t="n">
        <v>0</v>
      </c>
    </row>
    <row r="273" customFormat="false" ht="15" hidden="false" customHeight="false" outlineLevel="0" collapsed="false">
      <c r="A273" s="2" t="s">
        <v>2192</v>
      </c>
      <c r="B273" s="2" t="s">
        <v>2193</v>
      </c>
      <c r="C273" s="2" t="s">
        <v>2194</v>
      </c>
      <c r="D273" s="2" t="n">
        <v>2024</v>
      </c>
      <c r="E273" s="2" t="s">
        <v>12</v>
      </c>
      <c r="F273" s="2" t="s">
        <v>26</v>
      </c>
      <c r="G273" s="2" t="s">
        <v>1592</v>
      </c>
      <c r="H273" s="2" t="s">
        <v>28</v>
      </c>
      <c r="I273" s="2" t="n">
        <v>0</v>
      </c>
    </row>
    <row r="274" customFormat="false" ht="15" hidden="false" customHeight="false" outlineLevel="0" collapsed="false">
      <c r="A274" s="2" t="s">
        <v>2195</v>
      </c>
      <c r="B274" s="2" t="s">
        <v>2196</v>
      </c>
      <c r="C274" s="2" t="s">
        <v>2194</v>
      </c>
      <c r="D274" s="2" t="n">
        <v>2024</v>
      </c>
      <c r="E274" s="2" t="s">
        <v>12</v>
      </c>
      <c r="F274" s="2" t="s">
        <v>64</v>
      </c>
      <c r="G274" s="2" t="s">
        <v>1592</v>
      </c>
      <c r="H274" s="2" t="s">
        <v>65</v>
      </c>
      <c r="I274" s="2" t="n">
        <v>0</v>
      </c>
    </row>
    <row r="275" customFormat="false" ht="15" hidden="false" customHeight="false" outlineLevel="0" collapsed="false">
      <c r="A275" s="2" t="s">
        <v>2197</v>
      </c>
      <c r="B275" s="2" t="s">
        <v>2198</v>
      </c>
      <c r="C275" s="2" t="s">
        <v>2199</v>
      </c>
      <c r="D275" s="2" t="n">
        <v>2024</v>
      </c>
      <c r="E275" s="2" t="s">
        <v>12</v>
      </c>
      <c r="F275" s="2" t="s">
        <v>26</v>
      </c>
      <c r="G275" s="2" t="s">
        <v>1592</v>
      </c>
      <c r="H275" s="2" t="s">
        <v>28</v>
      </c>
      <c r="I275" s="2" t="n">
        <v>1</v>
      </c>
    </row>
    <row r="276" customFormat="false" ht="15" hidden="false" customHeight="false" outlineLevel="0" collapsed="false">
      <c r="A276" s="2" t="s">
        <v>2200</v>
      </c>
      <c r="B276" s="2" t="s">
        <v>2201</v>
      </c>
      <c r="C276" s="2" t="s">
        <v>2199</v>
      </c>
      <c r="D276" s="2" t="n">
        <v>2024</v>
      </c>
      <c r="E276" s="2" t="s">
        <v>12</v>
      </c>
      <c r="F276" s="2" t="s">
        <v>64</v>
      </c>
      <c r="G276" s="2" t="s">
        <v>1592</v>
      </c>
      <c r="H276" s="2" t="s">
        <v>65</v>
      </c>
      <c r="I276" s="2" t="n">
        <v>1</v>
      </c>
    </row>
    <row r="277" customFormat="false" ht="15" hidden="false" customHeight="false" outlineLevel="0" collapsed="false">
      <c r="A277" s="2" t="s">
        <v>2202</v>
      </c>
      <c r="B277" s="2" t="s">
        <v>2203</v>
      </c>
      <c r="C277" s="2" t="s">
        <v>2204</v>
      </c>
      <c r="D277" s="2" t="n">
        <v>2024</v>
      </c>
      <c r="E277" s="2" t="s">
        <v>12</v>
      </c>
      <c r="F277" s="2" t="s">
        <v>146</v>
      </c>
      <c r="G277" s="2" t="s">
        <v>1592</v>
      </c>
      <c r="H277" s="2" t="s">
        <v>147</v>
      </c>
      <c r="I277" s="2" t="n">
        <v>1</v>
      </c>
    </row>
    <row r="278" customFormat="false" ht="15" hidden="false" customHeight="false" outlineLevel="0" collapsed="false">
      <c r="A278" s="2" t="s">
        <v>2205</v>
      </c>
      <c r="B278" s="2" t="s">
        <v>2206</v>
      </c>
      <c r="C278" s="2" t="s">
        <v>2207</v>
      </c>
      <c r="D278" s="2" t="n">
        <v>2024</v>
      </c>
      <c r="E278" s="2" t="s">
        <v>12</v>
      </c>
      <c r="F278" s="2" t="s">
        <v>13</v>
      </c>
      <c r="G278" s="2" t="s">
        <v>1592</v>
      </c>
      <c r="H278" s="2" t="s">
        <v>15</v>
      </c>
      <c r="I278" s="2" t="n">
        <v>0</v>
      </c>
    </row>
    <row r="279" customFormat="false" ht="15" hidden="false" customHeight="false" outlineLevel="0" collapsed="false">
      <c r="A279" s="2" t="s">
        <v>2208</v>
      </c>
      <c r="B279" s="2" t="s">
        <v>2209</v>
      </c>
      <c r="C279" s="2" t="s">
        <v>2210</v>
      </c>
      <c r="D279" s="2" t="n">
        <v>2024</v>
      </c>
      <c r="E279" s="2" t="s">
        <v>46</v>
      </c>
      <c r="F279" s="2" t="s">
        <v>26</v>
      </c>
      <c r="G279" s="2" t="s">
        <v>1592</v>
      </c>
      <c r="H279" s="2" t="s">
        <v>28</v>
      </c>
      <c r="I279" s="2" t="n">
        <v>0</v>
      </c>
    </row>
    <row r="280" customFormat="false" ht="15" hidden="false" customHeight="false" outlineLevel="0" collapsed="false">
      <c r="A280" s="2" t="s">
        <v>2211</v>
      </c>
      <c r="B280" s="2" t="s">
        <v>2212</v>
      </c>
      <c r="C280" s="2" t="s">
        <v>2213</v>
      </c>
      <c r="D280" s="2" t="n">
        <v>2024</v>
      </c>
      <c r="E280" s="2" t="s">
        <v>12</v>
      </c>
      <c r="F280" s="2" t="s">
        <v>64</v>
      </c>
      <c r="G280" s="2" t="s">
        <v>1592</v>
      </c>
      <c r="H280" s="2" t="s">
        <v>65</v>
      </c>
      <c r="I280" s="2" t="n">
        <v>0</v>
      </c>
    </row>
    <row r="281" customFormat="false" ht="15" hidden="false" customHeight="false" outlineLevel="0" collapsed="false">
      <c r="A281" s="2" t="s">
        <v>2214</v>
      </c>
      <c r="B281" s="2" t="s">
        <v>2215</v>
      </c>
      <c r="C281" s="2" t="s">
        <v>2213</v>
      </c>
      <c r="D281" s="2" t="n">
        <v>2024</v>
      </c>
      <c r="E281" s="2" t="s">
        <v>12</v>
      </c>
      <c r="F281" s="2" t="s">
        <v>64</v>
      </c>
      <c r="G281" s="2" t="s">
        <v>1592</v>
      </c>
      <c r="H281" s="2" t="s">
        <v>65</v>
      </c>
      <c r="I281" s="2" t="n">
        <v>0</v>
      </c>
    </row>
    <row r="282" customFormat="false" ht="15" hidden="false" customHeight="false" outlineLevel="0" collapsed="false">
      <c r="A282" s="2" t="s">
        <v>2216</v>
      </c>
      <c r="B282" s="2" t="s">
        <v>2217</v>
      </c>
      <c r="C282" s="2" t="s">
        <v>2213</v>
      </c>
      <c r="D282" s="2" t="n">
        <v>2024</v>
      </c>
      <c r="E282" s="2" t="s">
        <v>12</v>
      </c>
      <c r="F282" s="2" t="s">
        <v>64</v>
      </c>
      <c r="G282" s="2" t="s">
        <v>1592</v>
      </c>
      <c r="H282" s="2" t="s">
        <v>65</v>
      </c>
      <c r="I282" s="2" t="n">
        <v>5</v>
      </c>
    </row>
    <row r="283" customFormat="false" ht="15" hidden="false" customHeight="false" outlineLevel="0" collapsed="false">
      <c r="A283" s="2" t="s">
        <v>2218</v>
      </c>
      <c r="B283" s="2" t="s">
        <v>2219</v>
      </c>
      <c r="C283" s="2" t="s">
        <v>1279</v>
      </c>
      <c r="D283" s="2" t="n">
        <v>2024</v>
      </c>
      <c r="E283" s="2" t="s">
        <v>12</v>
      </c>
      <c r="F283" s="2" t="s">
        <v>64</v>
      </c>
      <c r="G283" s="2" t="s">
        <v>1592</v>
      </c>
      <c r="H283" s="2" t="s">
        <v>65</v>
      </c>
      <c r="I283" s="2" t="n">
        <v>0</v>
      </c>
    </row>
    <row r="284" customFormat="false" ht="15" hidden="false" customHeight="false" outlineLevel="0" collapsed="false">
      <c r="A284" s="2" t="s">
        <v>2220</v>
      </c>
      <c r="B284" s="2" t="s">
        <v>2221</v>
      </c>
      <c r="C284" s="2" t="s">
        <v>1284</v>
      </c>
      <c r="D284" s="2" t="n">
        <v>2024</v>
      </c>
      <c r="E284" s="2" t="s">
        <v>12</v>
      </c>
      <c r="F284" s="2" t="s">
        <v>64</v>
      </c>
      <c r="G284" s="2" t="s">
        <v>1592</v>
      </c>
      <c r="H284" s="2" t="s">
        <v>65</v>
      </c>
      <c r="I284" s="2" t="n">
        <v>14</v>
      </c>
    </row>
    <row r="285" customFormat="false" ht="15" hidden="false" customHeight="false" outlineLevel="0" collapsed="false">
      <c r="A285" s="2" t="s">
        <v>2222</v>
      </c>
      <c r="B285" s="2" t="s">
        <v>2223</v>
      </c>
      <c r="C285" s="2" t="s">
        <v>1290</v>
      </c>
      <c r="D285" s="2" t="n">
        <v>2024</v>
      </c>
      <c r="E285" s="2" t="s">
        <v>46</v>
      </c>
      <c r="F285" s="2" t="s">
        <v>908</v>
      </c>
      <c r="G285" s="2" t="s">
        <v>1592</v>
      </c>
      <c r="H285" s="2" t="s">
        <v>909</v>
      </c>
      <c r="I285" s="2" t="n">
        <v>0</v>
      </c>
    </row>
    <row r="286" customFormat="false" ht="15" hidden="false" customHeight="false" outlineLevel="0" collapsed="false">
      <c r="A286" s="2" t="s">
        <v>2224</v>
      </c>
      <c r="B286" s="2" t="s">
        <v>2225</v>
      </c>
      <c r="C286" s="2" t="s">
        <v>1293</v>
      </c>
      <c r="D286" s="2" t="n">
        <v>2024</v>
      </c>
      <c r="E286" s="2" t="s">
        <v>12</v>
      </c>
      <c r="F286" s="2" t="s">
        <v>64</v>
      </c>
      <c r="G286" s="2" t="s">
        <v>1592</v>
      </c>
      <c r="H286" s="2" t="s">
        <v>65</v>
      </c>
      <c r="I286" s="2" t="n">
        <v>2</v>
      </c>
    </row>
    <row r="287" customFormat="false" ht="15" hidden="false" customHeight="false" outlineLevel="0" collapsed="false">
      <c r="A287" s="2" t="s">
        <v>2226</v>
      </c>
      <c r="B287" s="2" t="s">
        <v>2227</v>
      </c>
      <c r="C287" s="2" t="s">
        <v>1296</v>
      </c>
      <c r="D287" s="2" t="n">
        <v>2024</v>
      </c>
      <c r="E287" s="2" t="s">
        <v>46</v>
      </c>
      <c r="F287" s="2" t="s">
        <v>26</v>
      </c>
      <c r="G287" s="2" t="s">
        <v>1592</v>
      </c>
      <c r="H287" s="2" t="s">
        <v>28</v>
      </c>
      <c r="I287" s="2" t="n">
        <v>1</v>
      </c>
    </row>
    <row r="288" customFormat="false" ht="15" hidden="false" customHeight="false" outlineLevel="0" collapsed="false">
      <c r="A288" s="2" t="s">
        <v>2228</v>
      </c>
      <c r="B288" s="2" t="s">
        <v>2229</v>
      </c>
      <c r="C288" s="2" t="s">
        <v>1299</v>
      </c>
      <c r="D288" s="2" t="n">
        <v>2024</v>
      </c>
      <c r="E288" s="2" t="s">
        <v>12</v>
      </c>
      <c r="F288" s="2" t="s">
        <v>64</v>
      </c>
      <c r="G288" s="2" t="s">
        <v>1592</v>
      </c>
      <c r="H288" s="2" t="s">
        <v>65</v>
      </c>
      <c r="I288" s="2" t="n">
        <v>0</v>
      </c>
    </row>
    <row r="289" customFormat="false" ht="15" hidden="false" customHeight="false" outlineLevel="0" collapsed="false">
      <c r="A289" s="2" t="s">
        <v>2230</v>
      </c>
      <c r="B289" s="2" t="s">
        <v>2231</v>
      </c>
      <c r="C289" s="2" t="s">
        <v>1299</v>
      </c>
      <c r="D289" s="2" t="n">
        <v>2024</v>
      </c>
      <c r="E289" s="2" t="s">
        <v>12</v>
      </c>
      <c r="F289" s="2" t="s">
        <v>26</v>
      </c>
      <c r="G289" s="2" t="s">
        <v>1592</v>
      </c>
      <c r="H289" s="2" t="s">
        <v>28</v>
      </c>
      <c r="I289" s="2" t="n">
        <v>0</v>
      </c>
    </row>
    <row r="290" customFormat="false" ht="15" hidden="false" customHeight="false" outlineLevel="0" collapsed="false">
      <c r="A290" s="2" t="s">
        <v>2232</v>
      </c>
      <c r="B290" s="2" t="s">
        <v>2233</v>
      </c>
      <c r="C290" s="2" t="s">
        <v>2234</v>
      </c>
      <c r="D290" s="2" t="n">
        <v>2024</v>
      </c>
      <c r="E290" s="2" t="s">
        <v>12</v>
      </c>
      <c r="F290" s="2" t="s">
        <v>64</v>
      </c>
      <c r="G290" s="2" t="s">
        <v>1592</v>
      </c>
      <c r="H290" s="2" t="s">
        <v>65</v>
      </c>
      <c r="I290" s="2" t="n">
        <v>10</v>
      </c>
    </row>
    <row r="291" customFormat="false" ht="15" hidden="false" customHeight="false" outlineLevel="0" collapsed="false">
      <c r="A291" s="2" t="s">
        <v>2235</v>
      </c>
      <c r="B291" s="2" t="s">
        <v>2236</v>
      </c>
      <c r="C291" s="2" t="s">
        <v>2237</v>
      </c>
      <c r="D291" s="2" t="n">
        <v>2024</v>
      </c>
      <c r="E291" s="2" t="s">
        <v>40</v>
      </c>
      <c r="F291" s="2" t="s">
        <v>26</v>
      </c>
      <c r="G291" s="2" t="s">
        <v>1592</v>
      </c>
      <c r="H291" s="2" t="s">
        <v>28</v>
      </c>
      <c r="I291" s="2" t="n">
        <v>0</v>
      </c>
    </row>
    <row r="292" customFormat="false" ht="15" hidden="false" customHeight="false" outlineLevel="0" collapsed="false">
      <c r="A292" s="2" t="s">
        <v>2238</v>
      </c>
      <c r="B292" s="2" t="s">
        <v>2239</v>
      </c>
      <c r="C292" s="2" t="s">
        <v>1313</v>
      </c>
      <c r="D292" s="2" t="n">
        <v>2024</v>
      </c>
      <c r="E292" s="2" t="s">
        <v>12</v>
      </c>
      <c r="F292" s="2" t="s">
        <v>908</v>
      </c>
      <c r="G292" s="2" t="s">
        <v>1592</v>
      </c>
      <c r="H292" s="2" t="s">
        <v>909</v>
      </c>
      <c r="I292" s="2" t="n">
        <v>2</v>
      </c>
    </row>
    <row r="293" customFormat="false" ht="15" hidden="false" customHeight="false" outlineLevel="0" collapsed="false">
      <c r="A293" s="2" t="s">
        <v>2240</v>
      </c>
      <c r="B293" s="2" t="s">
        <v>2241</v>
      </c>
      <c r="C293" s="2" t="s">
        <v>1316</v>
      </c>
      <c r="D293" s="2" t="n">
        <v>2024</v>
      </c>
      <c r="E293" s="2" t="s">
        <v>12</v>
      </c>
      <c r="F293" s="2" t="s">
        <v>64</v>
      </c>
      <c r="G293" s="2" t="s">
        <v>1592</v>
      </c>
      <c r="H293" s="2" t="s">
        <v>65</v>
      </c>
      <c r="I293" s="2" t="n">
        <v>5</v>
      </c>
    </row>
    <row r="294" customFormat="false" ht="15" hidden="false" customHeight="false" outlineLevel="0" collapsed="false">
      <c r="A294" s="2" t="s">
        <v>2242</v>
      </c>
      <c r="B294" s="2" t="s">
        <v>2243</v>
      </c>
      <c r="C294" s="2" t="s">
        <v>2244</v>
      </c>
      <c r="D294" s="2" t="n">
        <v>2024</v>
      </c>
      <c r="E294" s="2" t="s">
        <v>12</v>
      </c>
      <c r="F294" s="2" t="s">
        <v>64</v>
      </c>
      <c r="G294" s="2" t="s">
        <v>1592</v>
      </c>
      <c r="H294" s="2" t="s">
        <v>65</v>
      </c>
      <c r="I294" s="2" t="n">
        <v>1</v>
      </c>
    </row>
    <row r="295" customFormat="false" ht="15" hidden="false" customHeight="false" outlineLevel="0" collapsed="false">
      <c r="A295" s="2" t="s">
        <v>2245</v>
      </c>
      <c r="B295" s="2" t="s">
        <v>2246</v>
      </c>
      <c r="C295" s="2" t="s">
        <v>2247</v>
      </c>
      <c r="D295" s="2" t="n">
        <v>2024</v>
      </c>
      <c r="E295" s="2" t="s">
        <v>46</v>
      </c>
      <c r="F295" s="2" t="s">
        <v>26</v>
      </c>
      <c r="G295" s="2" t="s">
        <v>1592</v>
      </c>
      <c r="H295" s="2" t="s">
        <v>28</v>
      </c>
      <c r="I295" s="2" t="n">
        <v>0</v>
      </c>
    </row>
    <row r="296" customFormat="false" ht="15" hidden="false" customHeight="false" outlineLevel="0" collapsed="false">
      <c r="A296" s="2" t="s">
        <v>2248</v>
      </c>
      <c r="B296" s="2" t="s">
        <v>2249</v>
      </c>
      <c r="C296" s="2" t="s">
        <v>2250</v>
      </c>
      <c r="D296" s="2" t="n">
        <v>2024</v>
      </c>
      <c r="E296" s="2" t="s">
        <v>12</v>
      </c>
      <c r="F296" s="2" t="s">
        <v>64</v>
      </c>
      <c r="G296" s="2" t="s">
        <v>1592</v>
      </c>
      <c r="H296" s="2" t="s">
        <v>65</v>
      </c>
      <c r="I296" s="2" t="n">
        <v>2</v>
      </c>
    </row>
    <row r="297" customFormat="false" ht="15" hidden="false" customHeight="false" outlineLevel="0" collapsed="false">
      <c r="A297" s="2" t="s">
        <v>2251</v>
      </c>
      <c r="B297" s="2" t="s">
        <v>2252</v>
      </c>
      <c r="C297" s="2" t="s">
        <v>1329</v>
      </c>
      <c r="D297" s="2" t="n">
        <v>2024</v>
      </c>
      <c r="E297" s="2" t="s">
        <v>12</v>
      </c>
      <c r="F297" s="2" t="s">
        <v>64</v>
      </c>
      <c r="G297" s="2" t="s">
        <v>1592</v>
      </c>
      <c r="H297" s="2" t="s">
        <v>65</v>
      </c>
      <c r="I297" s="2" t="n">
        <v>0</v>
      </c>
    </row>
    <row r="298" customFormat="false" ht="15" hidden="false" customHeight="false" outlineLevel="0" collapsed="false">
      <c r="A298" s="2" t="s">
        <v>2253</v>
      </c>
      <c r="B298" s="2" t="s">
        <v>2254</v>
      </c>
      <c r="C298" s="2" t="s">
        <v>1337</v>
      </c>
      <c r="D298" s="2" t="n">
        <v>2024</v>
      </c>
      <c r="E298" s="2" t="s">
        <v>12</v>
      </c>
      <c r="F298" s="2" t="s">
        <v>64</v>
      </c>
      <c r="G298" s="2" t="s">
        <v>1592</v>
      </c>
      <c r="H298" s="2" t="s">
        <v>65</v>
      </c>
      <c r="I298" s="2" t="n">
        <v>0</v>
      </c>
    </row>
    <row r="299" customFormat="false" ht="15" hidden="false" customHeight="false" outlineLevel="0" collapsed="false">
      <c r="A299" s="2" t="s">
        <v>2255</v>
      </c>
      <c r="B299" s="2" t="s">
        <v>2256</v>
      </c>
      <c r="C299" s="2" t="s">
        <v>1337</v>
      </c>
      <c r="D299" s="2" t="n">
        <v>2024</v>
      </c>
      <c r="E299" s="2" t="s">
        <v>12</v>
      </c>
      <c r="F299" s="2" t="s">
        <v>64</v>
      </c>
      <c r="G299" s="2" t="s">
        <v>1592</v>
      </c>
      <c r="H299" s="2" t="s">
        <v>65</v>
      </c>
      <c r="I299" s="2" t="n">
        <v>9</v>
      </c>
    </row>
    <row r="300" customFormat="false" ht="15" hidden="false" customHeight="false" outlineLevel="0" collapsed="false">
      <c r="A300" s="2" t="s">
        <v>2257</v>
      </c>
      <c r="B300" s="2" t="s">
        <v>2258</v>
      </c>
      <c r="C300" s="2" t="s">
        <v>1345</v>
      </c>
      <c r="D300" s="2" t="n">
        <v>2024</v>
      </c>
      <c r="E300" s="2" t="s">
        <v>12</v>
      </c>
      <c r="F300" s="2" t="s">
        <v>26</v>
      </c>
      <c r="G300" s="2" t="s">
        <v>1592</v>
      </c>
      <c r="H300" s="2" t="s">
        <v>28</v>
      </c>
      <c r="I300" s="2" t="n">
        <v>2</v>
      </c>
    </row>
    <row r="301" customFormat="false" ht="15" hidden="false" customHeight="false" outlineLevel="0" collapsed="false">
      <c r="A301" s="2" t="s">
        <v>2259</v>
      </c>
      <c r="B301" s="2" t="s">
        <v>2260</v>
      </c>
      <c r="C301" s="2" t="s">
        <v>1348</v>
      </c>
      <c r="D301" s="2" t="n">
        <v>2024</v>
      </c>
      <c r="E301" s="2" t="s">
        <v>12</v>
      </c>
      <c r="F301" s="2" t="s">
        <v>55</v>
      </c>
      <c r="G301" s="2" t="s">
        <v>1592</v>
      </c>
      <c r="H301" s="2" t="s">
        <v>56</v>
      </c>
      <c r="I301" s="2" t="n">
        <v>13</v>
      </c>
    </row>
    <row r="302" customFormat="false" ht="15" hidden="false" customHeight="false" outlineLevel="0" collapsed="false">
      <c r="A302" s="2" t="s">
        <v>2261</v>
      </c>
      <c r="B302" s="2" t="s">
        <v>2262</v>
      </c>
      <c r="C302" s="2" t="s">
        <v>2263</v>
      </c>
      <c r="D302" s="2" t="n">
        <v>2024</v>
      </c>
      <c r="E302" s="2" t="s">
        <v>12</v>
      </c>
      <c r="F302" s="2" t="s">
        <v>64</v>
      </c>
      <c r="G302" s="2" t="s">
        <v>1592</v>
      </c>
      <c r="H302" s="2" t="s">
        <v>65</v>
      </c>
      <c r="I302" s="2" t="n">
        <v>1</v>
      </c>
    </row>
    <row r="303" customFormat="false" ht="15" hidden="false" customHeight="false" outlineLevel="0" collapsed="false">
      <c r="A303" s="2" t="s">
        <v>2264</v>
      </c>
      <c r="B303" s="2" t="s">
        <v>2265</v>
      </c>
      <c r="C303" s="2" t="s">
        <v>2263</v>
      </c>
      <c r="D303" s="2" t="n">
        <v>2024</v>
      </c>
      <c r="E303" s="2" t="s">
        <v>12</v>
      </c>
      <c r="F303" s="2" t="s">
        <v>26</v>
      </c>
      <c r="G303" s="2" t="s">
        <v>1592</v>
      </c>
      <c r="H303" s="2" t="s">
        <v>28</v>
      </c>
      <c r="I303" s="2" t="n">
        <v>16</v>
      </c>
    </row>
    <row r="304" customFormat="false" ht="15" hidden="false" customHeight="false" outlineLevel="0" collapsed="false">
      <c r="A304" s="2" t="s">
        <v>2266</v>
      </c>
      <c r="B304" s="2" t="s">
        <v>2267</v>
      </c>
      <c r="C304" s="2" t="s">
        <v>2263</v>
      </c>
      <c r="D304" s="2" t="n">
        <v>2024</v>
      </c>
      <c r="E304" s="2" t="s">
        <v>12</v>
      </c>
      <c r="F304" s="2" t="s">
        <v>64</v>
      </c>
      <c r="G304" s="2" t="s">
        <v>1592</v>
      </c>
      <c r="H304" s="2" t="s">
        <v>65</v>
      </c>
      <c r="I304" s="2" t="n">
        <v>7</v>
      </c>
    </row>
    <row r="305" customFormat="false" ht="15" hidden="false" customHeight="false" outlineLevel="0" collapsed="false">
      <c r="A305" s="2" t="s">
        <v>2268</v>
      </c>
      <c r="B305" s="2" t="s">
        <v>2269</v>
      </c>
      <c r="C305" s="2" t="s">
        <v>2270</v>
      </c>
      <c r="D305" s="2" t="n">
        <v>2024</v>
      </c>
      <c r="E305" s="2" t="s">
        <v>12</v>
      </c>
      <c r="F305" s="2" t="s">
        <v>82</v>
      </c>
      <c r="G305" s="2" t="s">
        <v>1592</v>
      </c>
      <c r="H305" s="2" t="s">
        <v>83</v>
      </c>
      <c r="I305" s="2" t="n">
        <v>1</v>
      </c>
    </row>
    <row r="306" customFormat="false" ht="15" hidden="false" customHeight="false" outlineLevel="0" collapsed="false">
      <c r="A306" s="2" t="s">
        <v>2271</v>
      </c>
      <c r="B306" s="2" t="s">
        <v>2272</v>
      </c>
      <c r="C306" s="2" t="s">
        <v>1357</v>
      </c>
      <c r="D306" s="2" t="n">
        <v>2024</v>
      </c>
      <c r="E306" s="2" t="s">
        <v>12</v>
      </c>
      <c r="F306" s="2" t="s">
        <v>64</v>
      </c>
      <c r="G306" s="2" t="s">
        <v>1592</v>
      </c>
      <c r="H306" s="2" t="s">
        <v>65</v>
      </c>
      <c r="I306" s="2" t="n">
        <v>0</v>
      </c>
    </row>
    <row r="307" customFormat="false" ht="15" hidden="false" customHeight="false" outlineLevel="0" collapsed="false">
      <c r="A307" s="2" t="s">
        <v>2273</v>
      </c>
      <c r="B307" s="2" t="s">
        <v>2274</v>
      </c>
      <c r="C307" s="2" t="s">
        <v>1357</v>
      </c>
      <c r="D307" s="2" t="n">
        <v>2024</v>
      </c>
      <c r="E307" s="2" t="s">
        <v>12</v>
      </c>
      <c r="F307" s="2" t="s">
        <v>26</v>
      </c>
      <c r="G307" s="2" t="s">
        <v>1592</v>
      </c>
      <c r="H307" s="2" t="s">
        <v>28</v>
      </c>
      <c r="I307" s="2" t="n">
        <v>0</v>
      </c>
    </row>
    <row r="308" customFormat="false" ht="15" hidden="false" customHeight="false" outlineLevel="0" collapsed="false">
      <c r="A308" s="2" t="s">
        <v>2275</v>
      </c>
      <c r="B308" s="2" t="s">
        <v>2276</v>
      </c>
      <c r="C308" s="2" t="s">
        <v>1357</v>
      </c>
      <c r="D308" s="2" t="n">
        <v>2024</v>
      </c>
      <c r="E308" s="2" t="s">
        <v>12</v>
      </c>
      <c r="F308" s="2" t="s">
        <v>64</v>
      </c>
      <c r="G308" s="2" t="s">
        <v>1592</v>
      </c>
      <c r="H308" s="2" t="s">
        <v>65</v>
      </c>
      <c r="I308" s="2" t="n">
        <v>2</v>
      </c>
    </row>
    <row r="309" customFormat="false" ht="15" hidden="false" customHeight="false" outlineLevel="0" collapsed="false">
      <c r="A309" s="2" t="s">
        <v>2277</v>
      </c>
      <c r="B309" s="2" t="s">
        <v>2278</v>
      </c>
      <c r="C309" s="2" t="s">
        <v>2279</v>
      </c>
      <c r="D309" s="2" t="n">
        <v>2024</v>
      </c>
      <c r="E309" s="2" t="s">
        <v>12</v>
      </c>
      <c r="F309" s="2" t="s">
        <v>82</v>
      </c>
      <c r="G309" s="2" t="s">
        <v>1592</v>
      </c>
      <c r="H309" s="2" t="s">
        <v>83</v>
      </c>
      <c r="I309" s="2" t="n">
        <v>0</v>
      </c>
    </row>
    <row r="310" customFormat="false" ht="15" hidden="false" customHeight="false" outlineLevel="0" collapsed="false">
      <c r="A310" s="2" t="s">
        <v>2280</v>
      </c>
      <c r="B310" s="2" t="s">
        <v>2281</v>
      </c>
      <c r="C310" s="2" t="s">
        <v>2282</v>
      </c>
      <c r="D310" s="2" t="n">
        <v>2024</v>
      </c>
      <c r="E310" s="2" t="s">
        <v>46</v>
      </c>
      <c r="F310" s="2" t="s">
        <v>26</v>
      </c>
      <c r="G310" s="2" t="s">
        <v>1592</v>
      </c>
      <c r="H310" s="2" t="s">
        <v>28</v>
      </c>
      <c r="I310" s="2" t="n">
        <v>0</v>
      </c>
    </row>
    <row r="311" customFormat="false" ht="15" hidden="false" customHeight="false" outlineLevel="0" collapsed="false">
      <c r="A311" s="2" t="s">
        <v>2283</v>
      </c>
      <c r="B311" s="2" t="s">
        <v>2284</v>
      </c>
      <c r="C311" s="2" t="s">
        <v>2285</v>
      </c>
      <c r="D311" s="2" t="n">
        <v>2024</v>
      </c>
      <c r="E311" s="2" t="s">
        <v>12</v>
      </c>
      <c r="F311" s="2" t="s">
        <v>82</v>
      </c>
      <c r="G311" s="2" t="s">
        <v>1592</v>
      </c>
      <c r="H311" s="2" t="s">
        <v>83</v>
      </c>
      <c r="I311" s="2" t="n">
        <v>0</v>
      </c>
    </row>
    <row r="312" customFormat="false" ht="15" hidden="false" customHeight="false" outlineLevel="0" collapsed="false">
      <c r="A312" s="2" t="s">
        <v>2286</v>
      </c>
      <c r="B312" s="2" t="s">
        <v>2287</v>
      </c>
      <c r="C312" s="2" t="s">
        <v>2288</v>
      </c>
      <c r="D312" s="2" t="n">
        <v>2024</v>
      </c>
      <c r="E312" s="2" t="s">
        <v>46</v>
      </c>
      <c r="F312" s="2" t="s">
        <v>908</v>
      </c>
      <c r="G312" s="2" t="s">
        <v>1592</v>
      </c>
      <c r="H312" s="2" t="s">
        <v>909</v>
      </c>
      <c r="I312" s="2" t="n">
        <v>0</v>
      </c>
    </row>
    <row r="313" customFormat="false" ht="15" hidden="false" customHeight="false" outlineLevel="0" collapsed="false">
      <c r="A313" s="2" t="s">
        <v>2289</v>
      </c>
      <c r="B313" s="2" t="s">
        <v>2290</v>
      </c>
      <c r="C313" s="2" t="s">
        <v>2291</v>
      </c>
      <c r="D313" s="2" t="n">
        <v>2024</v>
      </c>
      <c r="E313" s="2" t="s">
        <v>12</v>
      </c>
      <c r="F313" s="2" t="s">
        <v>26</v>
      </c>
      <c r="G313" s="2" t="s">
        <v>1592</v>
      </c>
      <c r="H313" s="2" t="s">
        <v>28</v>
      </c>
      <c r="I313" s="2" t="n">
        <v>11</v>
      </c>
    </row>
    <row r="314" customFormat="false" ht="15" hidden="false" customHeight="false" outlineLevel="0" collapsed="false">
      <c r="A314" s="2" t="s">
        <v>2292</v>
      </c>
      <c r="B314" s="2" t="s">
        <v>2293</v>
      </c>
      <c r="C314" s="2" t="s">
        <v>2294</v>
      </c>
      <c r="D314" s="2" t="n">
        <v>2024</v>
      </c>
      <c r="E314" s="2" t="s">
        <v>46</v>
      </c>
      <c r="F314" s="2" t="s">
        <v>26</v>
      </c>
      <c r="G314" s="2" t="s">
        <v>1592</v>
      </c>
      <c r="H314" s="2" t="s">
        <v>28</v>
      </c>
      <c r="I314" s="2" t="n">
        <v>0</v>
      </c>
    </row>
    <row r="315" customFormat="false" ht="15" hidden="false" customHeight="false" outlineLevel="0" collapsed="false">
      <c r="A315" s="2" t="s">
        <v>2295</v>
      </c>
      <c r="B315" s="2" t="s">
        <v>2296</v>
      </c>
      <c r="C315" s="2" t="s">
        <v>1377</v>
      </c>
      <c r="D315" s="2" t="n">
        <v>2024</v>
      </c>
      <c r="E315" s="2" t="s">
        <v>12</v>
      </c>
      <c r="F315" s="2" t="s">
        <v>64</v>
      </c>
      <c r="G315" s="2" t="s">
        <v>1592</v>
      </c>
      <c r="H315" s="2" t="s">
        <v>65</v>
      </c>
      <c r="I315" s="2" t="n">
        <v>0</v>
      </c>
    </row>
    <row r="316" customFormat="false" ht="15" hidden="false" customHeight="false" outlineLevel="0" collapsed="false">
      <c r="A316" s="2" t="s">
        <v>2297</v>
      </c>
      <c r="B316" s="2" t="s">
        <v>2298</v>
      </c>
      <c r="C316" s="2" t="s">
        <v>1377</v>
      </c>
      <c r="D316" s="2" t="n">
        <v>2024</v>
      </c>
      <c r="E316" s="2" t="s">
        <v>12</v>
      </c>
      <c r="F316" s="2" t="s">
        <v>908</v>
      </c>
      <c r="G316" s="2" t="s">
        <v>1592</v>
      </c>
      <c r="H316" s="2" t="s">
        <v>909</v>
      </c>
      <c r="I316" s="2" t="n">
        <v>0</v>
      </c>
    </row>
    <row r="317" customFormat="false" ht="15" hidden="false" customHeight="false" outlineLevel="0" collapsed="false">
      <c r="A317" s="2" t="s">
        <v>2299</v>
      </c>
      <c r="B317" s="2" t="s">
        <v>2300</v>
      </c>
      <c r="C317" s="2" t="s">
        <v>1377</v>
      </c>
      <c r="D317" s="2" t="n">
        <v>2024</v>
      </c>
      <c r="E317" s="2" t="s">
        <v>12</v>
      </c>
      <c r="F317" s="2" t="s">
        <v>64</v>
      </c>
      <c r="G317" s="2" t="s">
        <v>1592</v>
      </c>
      <c r="H317" s="2" t="s">
        <v>65</v>
      </c>
      <c r="I317" s="2" t="n">
        <v>5</v>
      </c>
    </row>
    <row r="318" customFormat="false" ht="15" hidden="false" customHeight="false" outlineLevel="0" collapsed="false">
      <c r="A318" s="2" t="s">
        <v>2301</v>
      </c>
      <c r="B318" s="2" t="s">
        <v>2302</v>
      </c>
      <c r="C318" s="2" t="s">
        <v>1377</v>
      </c>
      <c r="D318" s="2" t="n">
        <v>2024</v>
      </c>
      <c r="E318" s="2" t="s">
        <v>12</v>
      </c>
      <c r="F318" s="2" t="s">
        <v>64</v>
      </c>
      <c r="G318" s="2" t="s">
        <v>1592</v>
      </c>
      <c r="H318" s="2" t="s">
        <v>65</v>
      </c>
      <c r="I318" s="2" t="n">
        <v>0</v>
      </c>
    </row>
    <row r="319" customFormat="false" ht="15" hidden="false" customHeight="false" outlineLevel="0" collapsed="false">
      <c r="A319" s="2" t="s">
        <v>2303</v>
      </c>
      <c r="B319" s="2" t="s">
        <v>2304</v>
      </c>
      <c r="C319" s="2" t="s">
        <v>1384</v>
      </c>
      <c r="D319" s="2" t="n">
        <v>2024</v>
      </c>
      <c r="E319" s="2" t="s">
        <v>12</v>
      </c>
      <c r="F319" s="2" t="s">
        <v>13</v>
      </c>
      <c r="G319" s="2" t="s">
        <v>1592</v>
      </c>
      <c r="H319" s="2" t="s">
        <v>15</v>
      </c>
      <c r="I319" s="2" t="n">
        <v>3</v>
      </c>
    </row>
    <row r="320" customFormat="false" ht="15" hidden="false" customHeight="false" outlineLevel="0" collapsed="false">
      <c r="A320" s="2" t="s">
        <v>2305</v>
      </c>
      <c r="B320" s="2" t="s">
        <v>2306</v>
      </c>
      <c r="C320" s="2" t="s">
        <v>1389</v>
      </c>
      <c r="D320" s="2" t="n">
        <v>2024</v>
      </c>
      <c r="E320" s="2" t="s">
        <v>12</v>
      </c>
      <c r="F320" s="2" t="s">
        <v>64</v>
      </c>
      <c r="G320" s="2" t="s">
        <v>1592</v>
      </c>
      <c r="H320" s="2" t="s">
        <v>65</v>
      </c>
      <c r="I320" s="2" t="n">
        <v>0</v>
      </c>
    </row>
    <row r="321" customFormat="false" ht="15" hidden="false" customHeight="false" outlineLevel="0" collapsed="false">
      <c r="A321" s="2" t="s">
        <v>2307</v>
      </c>
      <c r="B321" s="2" t="s">
        <v>2308</v>
      </c>
      <c r="C321" s="2" t="s">
        <v>1389</v>
      </c>
      <c r="D321" s="2" t="n">
        <v>2024</v>
      </c>
      <c r="E321" s="2" t="s">
        <v>12</v>
      </c>
      <c r="F321" s="2" t="s">
        <v>64</v>
      </c>
      <c r="G321" s="2" t="s">
        <v>1592</v>
      </c>
      <c r="H321" s="2" t="s">
        <v>65</v>
      </c>
      <c r="I321" s="2" t="n">
        <v>9</v>
      </c>
    </row>
    <row r="322" customFormat="false" ht="15" hidden="false" customHeight="false" outlineLevel="0" collapsed="false">
      <c r="A322" s="2" t="s">
        <v>2309</v>
      </c>
      <c r="B322" s="2" t="s">
        <v>2310</v>
      </c>
      <c r="C322" s="2" t="s">
        <v>1389</v>
      </c>
      <c r="D322" s="2" t="n">
        <v>2024</v>
      </c>
      <c r="E322" s="2" t="s">
        <v>12</v>
      </c>
      <c r="F322" s="2" t="s">
        <v>64</v>
      </c>
      <c r="G322" s="2" t="s">
        <v>1592</v>
      </c>
      <c r="H322" s="2" t="s">
        <v>65</v>
      </c>
      <c r="I322" s="2" t="n">
        <v>3</v>
      </c>
    </row>
    <row r="323" customFormat="false" ht="15" hidden="false" customHeight="false" outlineLevel="0" collapsed="false">
      <c r="A323" s="2" t="s">
        <v>2311</v>
      </c>
      <c r="B323" s="2" t="s">
        <v>2312</v>
      </c>
      <c r="C323" s="2" t="s">
        <v>1389</v>
      </c>
      <c r="D323" s="2" t="n">
        <v>2024</v>
      </c>
      <c r="E323" s="2" t="s">
        <v>12</v>
      </c>
      <c r="F323" s="2" t="s">
        <v>908</v>
      </c>
      <c r="G323" s="2" t="s">
        <v>1592</v>
      </c>
      <c r="H323" s="2" t="s">
        <v>909</v>
      </c>
      <c r="I323" s="2" t="n">
        <v>0</v>
      </c>
    </row>
    <row r="324" customFormat="false" ht="15" hidden="false" customHeight="false" outlineLevel="0" collapsed="false">
      <c r="A324" s="2" t="s">
        <v>2313</v>
      </c>
      <c r="B324" s="2" t="s">
        <v>2314</v>
      </c>
      <c r="C324" s="2" t="s">
        <v>2315</v>
      </c>
      <c r="D324" s="2" t="n">
        <v>2024</v>
      </c>
      <c r="E324" s="2" t="s">
        <v>12</v>
      </c>
      <c r="F324" s="2" t="s">
        <v>64</v>
      </c>
      <c r="G324" s="2" t="s">
        <v>1592</v>
      </c>
      <c r="H324" s="2" t="s">
        <v>65</v>
      </c>
      <c r="I324" s="2" t="n">
        <v>0</v>
      </c>
    </row>
    <row r="325" customFormat="false" ht="15" hidden="false" customHeight="false" outlineLevel="0" collapsed="false">
      <c r="A325" s="2" t="s">
        <v>2316</v>
      </c>
      <c r="B325" s="2" t="s">
        <v>2317</v>
      </c>
      <c r="C325" s="2" t="s">
        <v>2318</v>
      </c>
      <c r="D325" s="2" t="n">
        <v>2024</v>
      </c>
      <c r="E325" s="2" t="s">
        <v>46</v>
      </c>
      <c r="F325" s="2" t="s">
        <v>26</v>
      </c>
      <c r="G325" s="2" t="s">
        <v>1592</v>
      </c>
      <c r="H325" s="2" t="s">
        <v>28</v>
      </c>
      <c r="I325" s="2" t="n">
        <v>0</v>
      </c>
    </row>
    <row r="326" customFormat="false" ht="15" hidden="false" customHeight="false" outlineLevel="0" collapsed="false">
      <c r="A326" s="2" t="s">
        <v>2319</v>
      </c>
      <c r="B326" s="2" t="s">
        <v>2320</v>
      </c>
      <c r="C326" s="2" t="s">
        <v>2321</v>
      </c>
      <c r="D326" s="2" t="n">
        <v>2024</v>
      </c>
      <c r="E326" s="2" t="s">
        <v>12</v>
      </c>
      <c r="F326" s="2" t="s">
        <v>64</v>
      </c>
      <c r="G326" s="2" t="s">
        <v>1592</v>
      </c>
      <c r="H326" s="2" t="s">
        <v>65</v>
      </c>
      <c r="I326" s="2" t="n">
        <v>19</v>
      </c>
    </row>
    <row r="327" customFormat="false" ht="15" hidden="false" customHeight="false" outlineLevel="0" collapsed="false">
      <c r="A327" s="2" t="s">
        <v>2322</v>
      </c>
      <c r="B327" s="2" t="s">
        <v>2323</v>
      </c>
      <c r="C327" s="2" t="s">
        <v>2321</v>
      </c>
      <c r="D327" s="2" t="n">
        <v>2024</v>
      </c>
      <c r="E327" s="2" t="s">
        <v>12</v>
      </c>
      <c r="F327" s="2" t="s">
        <v>64</v>
      </c>
      <c r="G327" s="2" t="s">
        <v>1592</v>
      </c>
      <c r="H327" s="2" t="s">
        <v>65</v>
      </c>
      <c r="I327" s="2" t="n">
        <v>18</v>
      </c>
    </row>
    <row r="328" customFormat="false" ht="15" hidden="false" customHeight="false" outlineLevel="0" collapsed="false">
      <c r="A328" s="2" t="s">
        <v>2324</v>
      </c>
      <c r="B328" s="2" t="s">
        <v>2325</v>
      </c>
      <c r="C328" s="2" t="s">
        <v>2326</v>
      </c>
      <c r="D328" s="2" t="n">
        <v>2023</v>
      </c>
      <c r="E328" s="2" t="s">
        <v>46</v>
      </c>
      <c r="F328" s="2" t="s">
        <v>908</v>
      </c>
      <c r="G328" s="2" t="s">
        <v>1592</v>
      </c>
      <c r="H328" s="2" t="s">
        <v>909</v>
      </c>
      <c r="I328" s="2" t="n">
        <v>0</v>
      </c>
    </row>
    <row r="329" customFormat="false" ht="15" hidden="false" customHeight="false" outlineLevel="0" collapsed="false">
      <c r="A329" s="2" t="s">
        <v>2327</v>
      </c>
      <c r="B329" s="2" t="s">
        <v>2328</v>
      </c>
      <c r="C329" s="2" t="s">
        <v>1410</v>
      </c>
      <c r="D329" s="2" t="n">
        <v>2023</v>
      </c>
      <c r="E329" s="2" t="s">
        <v>12</v>
      </c>
      <c r="F329" s="2" t="s">
        <v>64</v>
      </c>
      <c r="G329" s="2" t="s">
        <v>1592</v>
      </c>
      <c r="H329" s="2" t="s">
        <v>65</v>
      </c>
      <c r="I329" s="2" t="n">
        <v>3</v>
      </c>
    </row>
    <row r="330" customFormat="false" ht="15" hidden="false" customHeight="false" outlineLevel="0" collapsed="false">
      <c r="A330" s="2" t="s">
        <v>2329</v>
      </c>
      <c r="B330" s="2" t="s">
        <v>2330</v>
      </c>
      <c r="C330" s="2" t="s">
        <v>1410</v>
      </c>
      <c r="D330" s="2" t="n">
        <v>2023</v>
      </c>
      <c r="E330" s="2" t="s">
        <v>12</v>
      </c>
      <c r="F330" s="2" t="s">
        <v>64</v>
      </c>
      <c r="G330" s="2" t="s">
        <v>1592</v>
      </c>
      <c r="H330" s="2" t="s">
        <v>65</v>
      </c>
      <c r="I330" s="2" t="n">
        <v>5</v>
      </c>
    </row>
    <row r="331" customFormat="false" ht="15" hidden="false" customHeight="false" outlineLevel="0" collapsed="false">
      <c r="A331" s="2" t="s">
        <v>2331</v>
      </c>
      <c r="B331" s="2" t="s">
        <v>2332</v>
      </c>
      <c r="C331" s="2" t="s">
        <v>1410</v>
      </c>
      <c r="D331" s="2" t="n">
        <v>2023</v>
      </c>
      <c r="E331" s="2" t="s">
        <v>12</v>
      </c>
      <c r="F331" s="2" t="s">
        <v>64</v>
      </c>
      <c r="G331" s="2" t="s">
        <v>1592</v>
      </c>
      <c r="H331" s="2" t="s">
        <v>65</v>
      </c>
      <c r="I331" s="2" t="n">
        <v>4</v>
      </c>
    </row>
    <row r="332" customFormat="false" ht="15" hidden="false" customHeight="false" outlineLevel="0" collapsed="false">
      <c r="A332" s="2" t="s">
        <v>2333</v>
      </c>
      <c r="B332" s="2" t="s">
        <v>2334</v>
      </c>
      <c r="C332" s="2" t="s">
        <v>2335</v>
      </c>
      <c r="D332" s="2" t="n">
        <v>2023</v>
      </c>
      <c r="E332" s="2" t="s">
        <v>12</v>
      </c>
      <c r="F332" s="2" t="s">
        <v>64</v>
      </c>
      <c r="G332" s="2" t="s">
        <v>1592</v>
      </c>
      <c r="H332" s="2" t="s">
        <v>65</v>
      </c>
      <c r="I332" s="2" t="n">
        <v>2</v>
      </c>
    </row>
    <row r="333" customFormat="false" ht="15" hidden="false" customHeight="false" outlineLevel="0" collapsed="false">
      <c r="A333" s="2" t="s">
        <v>2336</v>
      </c>
      <c r="B333" s="2" t="s">
        <v>2337</v>
      </c>
      <c r="C333" s="2" t="s">
        <v>2335</v>
      </c>
      <c r="D333" s="2" t="n">
        <v>2023</v>
      </c>
      <c r="E333" s="2" t="s">
        <v>12</v>
      </c>
      <c r="F333" s="2" t="s">
        <v>64</v>
      </c>
      <c r="G333" s="2" t="s">
        <v>1592</v>
      </c>
      <c r="H333" s="2" t="s">
        <v>65</v>
      </c>
      <c r="I333" s="2" t="n">
        <v>0</v>
      </c>
    </row>
    <row r="334" customFormat="false" ht="15" hidden="false" customHeight="false" outlineLevel="0" collapsed="false">
      <c r="A334" s="2" t="s">
        <v>2338</v>
      </c>
      <c r="B334" s="2" t="s">
        <v>2339</v>
      </c>
      <c r="C334" s="2" t="s">
        <v>1415</v>
      </c>
      <c r="D334" s="2" t="n">
        <v>2023</v>
      </c>
      <c r="E334" s="2" t="s">
        <v>12</v>
      </c>
      <c r="F334" s="2" t="s">
        <v>64</v>
      </c>
      <c r="G334" s="2" t="s">
        <v>1592</v>
      </c>
      <c r="H334" s="2" t="s">
        <v>65</v>
      </c>
      <c r="I334" s="2" t="n">
        <v>1</v>
      </c>
    </row>
    <row r="335" customFormat="false" ht="15" hidden="false" customHeight="false" outlineLevel="0" collapsed="false">
      <c r="A335" s="2" t="s">
        <v>2340</v>
      </c>
      <c r="B335" s="2" t="s">
        <v>2341</v>
      </c>
      <c r="C335" s="2" t="s">
        <v>1415</v>
      </c>
      <c r="D335" s="2" t="n">
        <v>2023</v>
      </c>
      <c r="E335" s="2" t="s">
        <v>12</v>
      </c>
      <c r="F335" s="2" t="s">
        <v>64</v>
      </c>
      <c r="G335" s="2" t="s">
        <v>1592</v>
      </c>
      <c r="H335" s="2" t="s">
        <v>65</v>
      </c>
      <c r="I335" s="2" t="n">
        <v>1</v>
      </c>
    </row>
    <row r="336" customFormat="false" ht="15" hidden="false" customHeight="false" outlineLevel="0" collapsed="false">
      <c r="A336" s="2" t="s">
        <v>2342</v>
      </c>
      <c r="B336" s="2" t="s">
        <v>2343</v>
      </c>
      <c r="C336" s="2" t="s">
        <v>1415</v>
      </c>
      <c r="D336" s="2" t="n">
        <v>2023</v>
      </c>
      <c r="E336" s="2" t="s">
        <v>12</v>
      </c>
      <c r="F336" s="2" t="s">
        <v>908</v>
      </c>
      <c r="G336" s="2" t="s">
        <v>1592</v>
      </c>
      <c r="H336" s="2" t="s">
        <v>909</v>
      </c>
      <c r="I336" s="2" t="n">
        <v>0</v>
      </c>
    </row>
    <row r="337" customFormat="false" ht="15" hidden="false" customHeight="false" outlineLevel="0" collapsed="false">
      <c r="A337" s="2" t="s">
        <v>2344</v>
      </c>
      <c r="B337" s="2" t="s">
        <v>2345</v>
      </c>
      <c r="C337" s="2" t="s">
        <v>1415</v>
      </c>
      <c r="D337" s="2" t="n">
        <v>2023</v>
      </c>
      <c r="E337" s="2" t="s">
        <v>12</v>
      </c>
      <c r="F337" s="2" t="s">
        <v>64</v>
      </c>
      <c r="G337" s="2" t="s">
        <v>1592</v>
      </c>
      <c r="H337" s="2" t="s">
        <v>65</v>
      </c>
      <c r="I337" s="2" t="n">
        <v>0</v>
      </c>
    </row>
    <row r="338" customFormat="false" ht="15" hidden="false" customHeight="false" outlineLevel="0" collapsed="false">
      <c r="A338" s="2" t="s">
        <v>2346</v>
      </c>
      <c r="B338" s="2" t="s">
        <v>2347</v>
      </c>
      <c r="C338" s="2" t="s">
        <v>1415</v>
      </c>
      <c r="D338" s="2" t="n">
        <v>2023</v>
      </c>
      <c r="E338" s="2" t="s">
        <v>12</v>
      </c>
      <c r="F338" s="2" t="s">
        <v>64</v>
      </c>
      <c r="G338" s="2" t="s">
        <v>1592</v>
      </c>
      <c r="H338" s="2" t="s">
        <v>65</v>
      </c>
      <c r="I338" s="2" t="n">
        <v>0</v>
      </c>
    </row>
    <row r="339" customFormat="false" ht="15" hidden="false" customHeight="false" outlineLevel="0" collapsed="false">
      <c r="A339" s="2" t="s">
        <v>2348</v>
      </c>
      <c r="B339" s="2" t="s">
        <v>2349</v>
      </c>
      <c r="C339" s="2" t="s">
        <v>1415</v>
      </c>
      <c r="D339" s="2" t="n">
        <v>2023</v>
      </c>
      <c r="E339" s="2" t="s">
        <v>12</v>
      </c>
      <c r="F339" s="2" t="s">
        <v>64</v>
      </c>
      <c r="G339" s="2" t="s">
        <v>1592</v>
      </c>
      <c r="H339" s="2" t="s">
        <v>65</v>
      </c>
      <c r="I339" s="2" t="n">
        <v>0</v>
      </c>
    </row>
    <row r="340" customFormat="false" ht="15" hidden="false" customHeight="false" outlineLevel="0" collapsed="false">
      <c r="A340" s="2" t="s">
        <v>2350</v>
      </c>
      <c r="B340" s="2" t="s">
        <v>2351</v>
      </c>
      <c r="C340" s="2" t="s">
        <v>1425</v>
      </c>
      <c r="D340" s="2" t="n">
        <v>2023</v>
      </c>
      <c r="E340" s="2" t="s">
        <v>12</v>
      </c>
      <c r="F340" s="2" t="s">
        <v>64</v>
      </c>
      <c r="G340" s="2" t="s">
        <v>1592</v>
      </c>
      <c r="H340" s="2" t="s">
        <v>65</v>
      </c>
      <c r="I340" s="2" t="n">
        <v>2</v>
      </c>
    </row>
    <row r="341" customFormat="false" ht="15" hidden="false" customHeight="false" outlineLevel="0" collapsed="false">
      <c r="A341" s="2" t="s">
        <v>2352</v>
      </c>
      <c r="B341" s="2" t="s">
        <v>2353</v>
      </c>
      <c r="C341" s="2" t="s">
        <v>1425</v>
      </c>
      <c r="D341" s="2" t="n">
        <v>2023</v>
      </c>
      <c r="E341" s="2" t="s">
        <v>12</v>
      </c>
      <c r="F341" s="2" t="s">
        <v>64</v>
      </c>
      <c r="G341" s="2" t="s">
        <v>1592</v>
      </c>
      <c r="H341" s="2" t="s">
        <v>65</v>
      </c>
      <c r="I341" s="2" t="n">
        <v>2</v>
      </c>
    </row>
    <row r="342" customFormat="false" ht="15" hidden="false" customHeight="false" outlineLevel="0" collapsed="false">
      <c r="A342" s="2" t="s">
        <v>2354</v>
      </c>
      <c r="B342" s="2" t="s">
        <v>2355</v>
      </c>
      <c r="C342" s="2" t="s">
        <v>2356</v>
      </c>
      <c r="D342" s="2" t="n">
        <v>2023</v>
      </c>
      <c r="E342" s="2" t="s">
        <v>12</v>
      </c>
      <c r="F342" s="2" t="s">
        <v>908</v>
      </c>
      <c r="G342" s="2" t="s">
        <v>1592</v>
      </c>
      <c r="H342" s="2" t="s">
        <v>909</v>
      </c>
      <c r="I342" s="2" t="n">
        <v>0</v>
      </c>
    </row>
    <row r="343" customFormat="false" ht="15" hidden="false" customHeight="false" outlineLevel="0" collapsed="false">
      <c r="A343" s="2" t="s">
        <v>2357</v>
      </c>
      <c r="B343" s="2" t="s">
        <v>2358</v>
      </c>
      <c r="C343" s="2" t="s">
        <v>2356</v>
      </c>
      <c r="D343" s="2" t="n">
        <v>2023</v>
      </c>
      <c r="E343" s="2" t="s">
        <v>12</v>
      </c>
      <c r="F343" s="2" t="s">
        <v>64</v>
      </c>
      <c r="G343" s="2" t="s">
        <v>1592</v>
      </c>
      <c r="H343" s="2" t="s">
        <v>65</v>
      </c>
      <c r="I343" s="2" t="n">
        <v>0</v>
      </c>
    </row>
    <row r="344" customFormat="false" ht="15" hidden="false" customHeight="false" outlineLevel="0" collapsed="false">
      <c r="A344" s="2" t="s">
        <v>2359</v>
      </c>
      <c r="B344" s="2" t="s">
        <v>2360</v>
      </c>
      <c r="C344" s="2" t="s">
        <v>2356</v>
      </c>
      <c r="D344" s="2" t="n">
        <v>2023</v>
      </c>
      <c r="E344" s="2" t="s">
        <v>12</v>
      </c>
      <c r="F344" s="2" t="s">
        <v>64</v>
      </c>
      <c r="G344" s="2" t="s">
        <v>1592</v>
      </c>
      <c r="H344" s="2" t="s">
        <v>65</v>
      </c>
      <c r="I344" s="2" t="n">
        <v>3</v>
      </c>
    </row>
    <row r="345" customFormat="false" ht="15" hidden="false" customHeight="false" outlineLevel="0" collapsed="false">
      <c r="A345" s="2" t="s">
        <v>2361</v>
      </c>
      <c r="B345" s="2" t="s">
        <v>2362</v>
      </c>
      <c r="C345" s="2" t="s">
        <v>2363</v>
      </c>
      <c r="D345" s="2" t="n">
        <v>2023</v>
      </c>
      <c r="E345" s="2" t="s">
        <v>46</v>
      </c>
      <c r="F345" s="2" t="s">
        <v>26</v>
      </c>
      <c r="G345" s="2" t="s">
        <v>1592</v>
      </c>
      <c r="H345" s="2" t="s">
        <v>28</v>
      </c>
      <c r="I345" s="2" t="n">
        <v>0</v>
      </c>
    </row>
    <row r="346" customFormat="false" ht="15" hidden="false" customHeight="false" outlineLevel="0" collapsed="false">
      <c r="A346" s="2" t="s">
        <v>2364</v>
      </c>
      <c r="B346" s="2" t="s">
        <v>2365</v>
      </c>
      <c r="C346" s="2" t="s">
        <v>1431</v>
      </c>
      <c r="D346" s="2" t="n">
        <v>2023</v>
      </c>
      <c r="E346" s="2" t="s">
        <v>12</v>
      </c>
      <c r="F346" s="2" t="s">
        <v>64</v>
      </c>
      <c r="G346" s="2" t="s">
        <v>1592</v>
      </c>
      <c r="H346" s="2" t="s">
        <v>65</v>
      </c>
      <c r="I346" s="2" t="n">
        <v>0</v>
      </c>
    </row>
    <row r="347" customFormat="false" ht="15" hidden="false" customHeight="false" outlineLevel="0" collapsed="false">
      <c r="A347" s="2" t="s">
        <v>2366</v>
      </c>
      <c r="B347" s="2" t="s">
        <v>2367</v>
      </c>
      <c r="C347" s="2" t="s">
        <v>1434</v>
      </c>
      <c r="D347" s="2" t="n">
        <v>2023</v>
      </c>
      <c r="E347" s="2" t="s">
        <v>12</v>
      </c>
      <c r="F347" s="2" t="s">
        <v>82</v>
      </c>
      <c r="G347" s="2" t="s">
        <v>1592</v>
      </c>
      <c r="H347" s="2" t="s">
        <v>83</v>
      </c>
      <c r="I347" s="2" t="n">
        <v>2</v>
      </c>
    </row>
    <row r="348" customFormat="false" ht="15" hidden="false" customHeight="false" outlineLevel="0" collapsed="false">
      <c r="A348" s="2" t="s">
        <v>2368</v>
      </c>
      <c r="B348" s="2" t="s">
        <v>2369</v>
      </c>
      <c r="C348" s="2" t="s">
        <v>1440</v>
      </c>
      <c r="D348" s="2" t="n">
        <v>2023</v>
      </c>
      <c r="E348" s="2" t="s">
        <v>12</v>
      </c>
      <c r="F348" s="2" t="s">
        <v>64</v>
      </c>
      <c r="G348" s="2" t="s">
        <v>1592</v>
      </c>
      <c r="H348" s="2" t="s">
        <v>65</v>
      </c>
      <c r="I348" s="2" t="n">
        <v>0</v>
      </c>
    </row>
    <row r="349" customFormat="false" ht="15" hidden="false" customHeight="false" outlineLevel="0" collapsed="false">
      <c r="A349" s="2" t="s">
        <v>2370</v>
      </c>
      <c r="B349" s="2" t="s">
        <v>2371</v>
      </c>
      <c r="C349" s="2" t="s">
        <v>1440</v>
      </c>
      <c r="D349" s="2" t="n">
        <v>2023</v>
      </c>
      <c r="E349" s="2" t="s">
        <v>12</v>
      </c>
      <c r="F349" s="2" t="s">
        <v>64</v>
      </c>
      <c r="G349" s="2" t="s">
        <v>1592</v>
      </c>
      <c r="H349" s="2" t="s">
        <v>65</v>
      </c>
      <c r="I349" s="2" t="n">
        <v>5</v>
      </c>
    </row>
    <row r="350" customFormat="false" ht="15" hidden="false" customHeight="false" outlineLevel="0" collapsed="false">
      <c r="A350" s="2" t="s">
        <v>2372</v>
      </c>
      <c r="B350" s="2" t="s">
        <v>2373</v>
      </c>
      <c r="C350" s="2" t="s">
        <v>1445</v>
      </c>
      <c r="D350" s="2" t="n">
        <v>2023</v>
      </c>
      <c r="E350" s="2" t="s">
        <v>12</v>
      </c>
      <c r="F350" s="2" t="s">
        <v>64</v>
      </c>
      <c r="G350" s="2" t="s">
        <v>1592</v>
      </c>
      <c r="H350" s="2" t="s">
        <v>65</v>
      </c>
      <c r="I350" s="2" t="n">
        <v>12</v>
      </c>
    </row>
    <row r="351" customFormat="false" ht="15" hidden="false" customHeight="false" outlineLevel="0" collapsed="false">
      <c r="A351" s="2" t="s">
        <v>2374</v>
      </c>
      <c r="B351" s="2" t="s">
        <v>2375</v>
      </c>
      <c r="C351" s="2" t="s">
        <v>1445</v>
      </c>
      <c r="D351" s="2" t="n">
        <v>2023</v>
      </c>
      <c r="E351" s="2" t="s">
        <v>12</v>
      </c>
      <c r="F351" s="2" t="s">
        <v>64</v>
      </c>
      <c r="G351" s="2" t="s">
        <v>1592</v>
      </c>
      <c r="H351" s="2" t="s">
        <v>65</v>
      </c>
      <c r="I351" s="2" t="n">
        <v>7</v>
      </c>
    </row>
    <row r="352" customFormat="false" ht="15" hidden="false" customHeight="false" outlineLevel="0" collapsed="false">
      <c r="A352" s="2" t="s">
        <v>2376</v>
      </c>
      <c r="B352" s="2" t="s">
        <v>2377</v>
      </c>
      <c r="C352" s="2" t="s">
        <v>1445</v>
      </c>
      <c r="D352" s="2" t="n">
        <v>2023</v>
      </c>
      <c r="E352" s="2" t="s">
        <v>12</v>
      </c>
      <c r="F352" s="2" t="s">
        <v>64</v>
      </c>
      <c r="G352" s="2" t="s">
        <v>1592</v>
      </c>
      <c r="H352" s="2" t="s">
        <v>65</v>
      </c>
      <c r="I352" s="2" t="n">
        <v>3</v>
      </c>
    </row>
    <row r="353" customFormat="false" ht="15" hidden="false" customHeight="false" outlineLevel="0" collapsed="false">
      <c r="A353" s="2" t="s">
        <v>2378</v>
      </c>
      <c r="B353" s="2" t="s">
        <v>2379</v>
      </c>
      <c r="C353" s="2" t="s">
        <v>2380</v>
      </c>
      <c r="D353" s="2" t="n">
        <v>2023</v>
      </c>
      <c r="E353" s="2" t="s">
        <v>12</v>
      </c>
      <c r="F353" s="2" t="s">
        <v>26</v>
      </c>
      <c r="G353" s="2" t="s">
        <v>1592</v>
      </c>
      <c r="H353" s="2" t="s">
        <v>28</v>
      </c>
      <c r="I353" s="2" t="n">
        <v>1</v>
      </c>
    </row>
    <row r="354" customFormat="false" ht="15" hidden="false" customHeight="false" outlineLevel="0" collapsed="false">
      <c r="A354" s="2" t="s">
        <v>2381</v>
      </c>
      <c r="B354" s="2" t="s">
        <v>2382</v>
      </c>
      <c r="C354" s="2" t="s">
        <v>2380</v>
      </c>
      <c r="D354" s="2" t="n">
        <v>2023</v>
      </c>
      <c r="E354" s="2" t="s">
        <v>12</v>
      </c>
      <c r="F354" s="2" t="s">
        <v>64</v>
      </c>
      <c r="G354" s="2" t="s">
        <v>1592</v>
      </c>
      <c r="H354" s="2" t="s">
        <v>65</v>
      </c>
      <c r="I354" s="2" t="n">
        <v>2</v>
      </c>
    </row>
    <row r="355" customFormat="false" ht="15" hidden="false" customHeight="false" outlineLevel="0" collapsed="false">
      <c r="A355" s="2" t="s">
        <v>2383</v>
      </c>
      <c r="B355" s="2" t="s">
        <v>2384</v>
      </c>
      <c r="C355" s="2" t="s">
        <v>2380</v>
      </c>
      <c r="D355" s="2" t="n">
        <v>2023</v>
      </c>
      <c r="E355" s="2" t="s">
        <v>12</v>
      </c>
      <c r="F355" s="2" t="s">
        <v>908</v>
      </c>
      <c r="G355" s="2" t="s">
        <v>1592</v>
      </c>
      <c r="H355" s="2" t="s">
        <v>909</v>
      </c>
      <c r="I355" s="2" t="n">
        <v>0</v>
      </c>
    </row>
    <row r="356" customFormat="false" ht="15" hidden="false" customHeight="false" outlineLevel="0" collapsed="false">
      <c r="A356" s="2" t="s">
        <v>2385</v>
      </c>
      <c r="B356" s="2" t="s">
        <v>2386</v>
      </c>
      <c r="C356" s="2" t="s">
        <v>1456</v>
      </c>
      <c r="D356" s="2" t="n">
        <v>2023</v>
      </c>
      <c r="E356" s="2" t="s">
        <v>12</v>
      </c>
      <c r="F356" s="2" t="s">
        <v>64</v>
      </c>
      <c r="G356" s="2" t="s">
        <v>1592</v>
      </c>
      <c r="H356" s="2" t="s">
        <v>65</v>
      </c>
      <c r="I356" s="2" t="n">
        <v>9</v>
      </c>
    </row>
    <row r="357" customFormat="false" ht="15" hidden="false" customHeight="false" outlineLevel="0" collapsed="false">
      <c r="A357" s="2" t="s">
        <v>2387</v>
      </c>
      <c r="B357" s="2" t="s">
        <v>2388</v>
      </c>
      <c r="C357" s="2" t="s">
        <v>1456</v>
      </c>
      <c r="D357" s="2" t="n">
        <v>2023</v>
      </c>
      <c r="E357" s="2" t="s">
        <v>12</v>
      </c>
      <c r="F357" s="2" t="s">
        <v>64</v>
      </c>
      <c r="G357" s="2" t="s">
        <v>1592</v>
      </c>
      <c r="H357" s="2" t="s">
        <v>65</v>
      </c>
      <c r="I357" s="2" t="n">
        <v>0</v>
      </c>
    </row>
    <row r="358" customFormat="false" ht="15" hidden="false" customHeight="false" outlineLevel="0" collapsed="false">
      <c r="A358" s="2" t="s">
        <v>2389</v>
      </c>
      <c r="B358" s="2" t="s">
        <v>2390</v>
      </c>
      <c r="C358" s="2" t="s">
        <v>1456</v>
      </c>
      <c r="D358" s="2" t="n">
        <v>2023</v>
      </c>
      <c r="E358" s="2" t="s">
        <v>12</v>
      </c>
      <c r="F358" s="2" t="s">
        <v>64</v>
      </c>
      <c r="G358" s="2" t="s">
        <v>1592</v>
      </c>
      <c r="H358" s="2" t="s">
        <v>65</v>
      </c>
      <c r="I358" s="2" t="n">
        <v>0</v>
      </c>
    </row>
    <row r="359" customFormat="false" ht="15" hidden="false" customHeight="false" outlineLevel="0" collapsed="false">
      <c r="A359" s="2" t="s">
        <v>2391</v>
      </c>
      <c r="B359" s="2" t="s">
        <v>2392</v>
      </c>
      <c r="C359" s="2" t="s">
        <v>2393</v>
      </c>
      <c r="D359" s="2" t="n">
        <v>2023</v>
      </c>
      <c r="E359" s="2" t="s">
        <v>40</v>
      </c>
      <c r="F359" s="2" t="s">
        <v>26</v>
      </c>
      <c r="G359" s="2" t="s">
        <v>1592</v>
      </c>
      <c r="H359" s="2" t="s">
        <v>28</v>
      </c>
      <c r="I359" s="2" t="n">
        <v>0</v>
      </c>
    </row>
    <row r="360" customFormat="false" ht="15" hidden="false" customHeight="false" outlineLevel="0" collapsed="false">
      <c r="A360" s="2" t="s">
        <v>2394</v>
      </c>
      <c r="B360" s="2" t="s">
        <v>2395</v>
      </c>
      <c r="C360" s="2" t="s">
        <v>1468</v>
      </c>
      <c r="D360" s="2" t="n">
        <v>2023</v>
      </c>
      <c r="E360" s="2" t="s">
        <v>12</v>
      </c>
      <c r="F360" s="2" t="s">
        <v>908</v>
      </c>
      <c r="G360" s="2" t="s">
        <v>1592</v>
      </c>
      <c r="H360" s="2" t="s">
        <v>909</v>
      </c>
      <c r="I360" s="2" t="n">
        <v>0</v>
      </c>
    </row>
    <row r="361" customFormat="false" ht="15" hidden="false" customHeight="false" outlineLevel="0" collapsed="false">
      <c r="A361" s="2" t="s">
        <v>2396</v>
      </c>
      <c r="B361" s="2" t="s">
        <v>2397</v>
      </c>
      <c r="C361" s="2" t="s">
        <v>1468</v>
      </c>
      <c r="D361" s="2" t="n">
        <v>2023</v>
      </c>
      <c r="E361" s="2" t="s">
        <v>12</v>
      </c>
      <c r="F361" s="2" t="s">
        <v>64</v>
      </c>
      <c r="G361" s="2" t="s">
        <v>1592</v>
      </c>
      <c r="H361" s="2" t="s">
        <v>65</v>
      </c>
      <c r="I361" s="2" t="n">
        <v>0</v>
      </c>
    </row>
    <row r="362" customFormat="false" ht="15" hidden="false" customHeight="false" outlineLevel="0" collapsed="false">
      <c r="A362" s="2" t="s">
        <v>2398</v>
      </c>
      <c r="B362" s="2" t="s">
        <v>2399</v>
      </c>
      <c r="C362" s="2" t="s">
        <v>2400</v>
      </c>
      <c r="D362" s="2" t="n">
        <v>2023</v>
      </c>
      <c r="E362" s="2" t="s">
        <v>40</v>
      </c>
      <c r="F362" s="2" t="s">
        <v>41</v>
      </c>
      <c r="G362" s="2" t="s">
        <v>1592</v>
      </c>
      <c r="H362" s="2" t="s">
        <v>337</v>
      </c>
      <c r="I362" s="2" t="n">
        <v>1</v>
      </c>
    </row>
    <row r="363" customFormat="false" ht="15" hidden="false" customHeight="false" outlineLevel="0" collapsed="false">
      <c r="A363" s="2" t="s">
        <v>2401</v>
      </c>
      <c r="B363" s="2" t="s">
        <v>2402</v>
      </c>
      <c r="C363" s="2" t="s">
        <v>2403</v>
      </c>
      <c r="D363" s="2" t="n">
        <v>2023</v>
      </c>
      <c r="E363" s="2" t="s">
        <v>12</v>
      </c>
      <c r="F363" s="2" t="s">
        <v>908</v>
      </c>
      <c r="G363" s="2" t="s">
        <v>1592</v>
      </c>
      <c r="H363" s="2" t="s">
        <v>909</v>
      </c>
      <c r="I363" s="2" t="n">
        <v>0</v>
      </c>
    </row>
    <row r="364" customFormat="false" ht="15" hidden="false" customHeight="false" outlineLevel="0" collapsed="false">
      <c r="A364" s="2" t="s">
        <v>2404</v>
      </c>
      <c r="B364" s="2" t="s">
        <v>2405</v>
      </c>
      <c r="C364" s="2" t="s">
        <v>2403</v>
      </c>
      <c r="D364" s="2" t="n">
        <v>2023</v>
      </c>
      <c r="E364" s="2" t="s">
        <v>12</v>
      </c>
      <c r="F364" s="2" t="s">
        <v>908</v>
      </c>
      <c r="G364" s="2" t="s">
        <v>1592</v>
      </c>
      <c r="H364" s="2" t="s">
        <v>909</v>
      </c>
      <c r="I364" s="2" t="n">
        <v>0</v>
      </c>
    </row>
    <row r="365" customFormat="false" ht="15" hidden="false" customHeight="false" outlineLevel="0" collapsed="false">
      <c r="A365" s="2" t="s">
        <v>2406</v>
      </c>
      <c r="B365" s="2" t="s">
        <v>2407</v>
      </c>
      <c r="C365" s="2" t="s">
        <v>2403</v>
      </c>
      <c r="D365" s="2" t="n">
        <v>2023</v>
      </c>
      <c r="E365" s="2" t="s">
        <v>12</v>
      </c>
      <c r="F365" s="2" t="s">
        <v>64</v>
      </c>
      <c r="G365" s="2" t="s">
        <v>1592</v>
      </c>
      <c r="H365" s="2" t="s">
        <v>65</v>
      </c>
      <c r="I365" s="2" t="n">
        <v>0</v>
      </c>
    </row>
    <row r="366" customFormat="false" ht="15" hidden="false" customHeight="false" outlineLevel="0" collapsed="false">
      <c r="A366" s="2" t="s">
        <v>2408</v>
      </c>
      <c r="B366" s="2" t="s">
        <v>2409</v>
      </c>
      <c r="C366" s="2" t="s">
        <v>2410</v>
      </c>
      <c r="D366" s="2" t="n">
        <v>2023</v>
      </c>
      <c r="E366" s="2" t="s">
        <v>12</v>
      </c>
      <c r="F366" s="2" t="s">
        <v>64</v>
      </c>
      <c r="G366" s="2" t="s">
        <v>1592</v>
      </c>
      <c r="H366" s="2" t="s">
        <v>65</v>
      </c>
      <c r="I366" s="2" t="n">
        <v>14</v>
      </c>
    </row>
    <row r="367" customFormat="false" ht="15" hidden="false" customHeight="false" outlineLevel="0" collapsed="false">
      <c r="A367" s="2" t="s">
        <v>2411</v>
      </c>
      <c r="B367" s="2" t="s">
        <v>2412</v>
      </c>
      <c r="C367" s="2" t="s">
        <v>1471</v>
      </c>
      <c r="D367" s="2" t="n">
        <v>2023</v>
      </c>
      <c r="E367" s="2" t="s">
        <v>12</v>
      </c>
      <c r="F367" s="2" t="s">
        <v>64</v>
      </c>
      <c r="G367" s="2" t="s">
        <v>1592</v>
      </c>
      <c r="H367" s="2" t="s">
        <v>65</v>
      </c>
      <c r="I367" s="2" t="n">
        <v>0</v>
      </c>
    </row>
    <row r="368" customFormat="false" ht="15" hidden="false" customHeight="false" outlineLevel="0" collapsed="false">
      <c r="A368" s="2" t="s">
        <v>2413</v>
      </c>
      <c r="B368" s="2" t="s">
        <v>2414</v>
      </c>
      <c r="C368" s="2" t="s">
        <v>1471</v>
      </c>
      <c r="D368" s="2" t="n">
        <v>2023</v>
      </c>
      <c r="E368" s="2" t="s">
        <v>12</v>
      </c>
      <c r="F368" s="2" t="s">
        <v>64</v>
      </c>
      <c r="G368" s="2" t="s">
        <v>1592</v>
      </c>
      <c r="H368" s="2" t="s">
        <v>65</v>
      </c>
      <c r="I368" s="2" t="n">
        <v>16</v>
      </c>
    </row>
    <row r="369" customFormat="false" ht="15" hidden="false" customHeight="false" outlineLevel="0" collapsed="false">
      <c r="A369" s="2" t="s">
        <v>2415</v>
      </c>
      <c r="B369" s="2" t="s">
        <v>2416</v>
      </c>
      <c r="C369" s="2" t="s">
        <v>2417</v>
      </c>
      <c r="D369" s="2" t="n">
        <v>2023</v>
      </c>
      <c r="E369" s="2" t="s">
        <v>12</v>
      </c>
      <c r="F369" s="2" t="s">
        <v>26</v>
      </c>
      <c r="G369" s="2" t="s">
        <v>1592</v>
      </c>
      <c r="H369" s="2" t="s">
        <v>28</v>
      </c>
      <c r="I369" s="2" t="n">
        <v>1</v>
      </c>
    </row>
    <row r="370" customFormat="false" ht="15" hidden="false" customHeight="false" outlineLevel="0" collapsed="false">
      <c r="A370" s="2" t="s">
        <v>2418</v>
      </c>
      <c r="B370" s="2" t="s">
        <v>2419</v>
      </c>
      <c r="C370" s="2" t="s">
        <v>2420</v>
      </c>
      <c r="D370" s="2" t="n">
        <v>2023</v>
      </c>
      <c r="E370" s="2" t="s">
        <v>46</v>
      </c>
      <c r="F370" s="2" t="s">
        <v>26</v>
      </c>
      <c r="G370" s="2" t="s">
        <v>1592</v>
      </c>
      <c r="H370" s="2" t="s">
        <v>28</v>
      </c>
      <c r="I370" s="2" t="n">
        <v>0</v>
      </c>
    </row>
    <row r="371" customFormat="false" ht="15" hidden="false" customHeight="false" outlineLevel="0" collapsed="false">
      <c r="A371" s="2" t="s">
        <v>2421</v>
      </c>
      <c r="B371" s="2" t="s">
        <v>2422</v>
      </c>
      <c r="C371" s="2" t="s">
        <v>1474</v>
      </c>
      <c r="D371" s="2" t="n">
        <v>2023</v>
      </c>
      <c r="E371" s="2" t="s">
        <v>1554</v>
      </c>
      <c r="F371" s="2" t="s">
        <v>908</v>
      </c>
      <c r="G371" s="2" t="s">
        <v>1592</v>
      </c>
      <c r="H371" s="2" t="s">
        <v>909</v>
      </c>
      <c r="I371" s="2" t="n">
        <v>0</v>
      </c>
    </row>
    <row r="372" customFormat="false" ht="15" hidden="false" customHeight="false" outlineLevel="0" collapsed="false">
      <c r="A372" s="2" t="s">
        <v>2423</v>
      </c>
      <c r="B372" s="2" t="s">
        <v>2424</v>
      </c>
      <c r="C372" s="2" t="s">
        <v>1474</v>
      </c>
      <c r="D372" s="2" t="n">
        <v>2023</v>
      </c>
      <c r="E372" s="2" t="s">
        <v>12</v>
      </c>
      <c r="F372" s="2" t="s">
        <v>64</v>
      </c>
      <c r="G372" s="2" t="s">
        <v>1592</v>
      </c>
      <c r="H372" s="2" t="s">
        <v>65</v>
      </c>
      <c r="I372" s="2" t="n">
        <v>18</v>
      </c>
    </row>
    <row r="373" customFormat="false" ht="15" hidden="false" customHeight="false" outlineLevel="0" collapsed="false">
      <c r="A373" s="2" t="s">
        <v>2425</v>
      </c>
      <c r="B373" s="2" t="s">
        <v>2426</v>
      </c>
      <c r="C373" s="2" t="s">
        <v>2427</v>
      </c>
      <c r="D373" s="2" t="n">
        <v>2023</v>
      </c>
      <c r="E373" s="2" t="s">
        <v>219</v>
      </c>
      <c r="F373" s="2" t="s">
        <v>55</v>
      </c>
      <c r="G373" s="2" t="s">
        <v>1592</v>
      </c>
      <c r="H373" s="2" t="s">
        <v>2008</v>
      </c>
      <c r="I373" s="2" t="n">
        <v>0</v>
      </c>
    </row>
    <row r="374" customFormat="false" ht="15" hidden="false" customHeight="false" outlineLevel="0" collapsed="false">
      <c r="A374" s="2" t="s">
        <v>2428</v>
      </c>
      <c r="B374" s="2" t="s">
        <v>2429</v>
      </c>
      <c r="C374" s="2" t="s">
        <v>2427</v>
      </c>
      <c r="D374" s="2" t="n">
        <v>2023</v>
      </c>
      <c r="E374" s="2" t="s">
        <v>12</v>
      </c>
      <c r="F374" s="2" t="s">
        <v>64</v>
      </c>
      <c r="G374" s="2" t="s">
        <v>1592</v>
      </c>
      <c r="H374" s="2" t="s">
        <v>65</v>
      </c>
      <c r="I374" s="2" t="n">
        <v>11</v>
      </c>
    </row>
    <row r="375" customFormat="false" ht="15" hidden="false" customHeight="false" outlineLevel="0" collapsed="false">
      <c r="A375" s="2" t="s">
        <v>2430</v>
      </c>
      <c r="B375" s="2" t="s">
        <v>2431</v>
      </c>
      <c r="C375" s="2" t="s">
        <v>2427</v>
      </c>
      <c r="D375" s="2" t="n">
        <v>2023</v>
      </c>
      <c r="E375" s="2" t="s">
        <v>12</v>
      </c>
      <c r="F375" s="2" t="s">
        <v>64</v>
      </c>
      <c r="G375" s="2" t="s">
        <v>1592</v>
      </c>
      <c r="H375" s="2" t="s">
        <v>65</v>
      </c>
      <c r="I375" s="2" t="n">
        <v>0</v>
      </c>
    </row>
    <row r="376" customFormat="false" ht="15" hidden="false" customHeight="false" outlineLevel="0" collapsed="false">
      <c r="A376" s="2" t="s">
        <v>2432</v>
      </c>
      <c r="B376" s="2" t="s">
        <v>2433</v>
      </c>
      <c r="C376" s="2" t="s">
        <v>1477</v>
      </c>
      <c r="D376" s="2" t="n">
        <v>2023</v>
      </c>
      <c r="E376" s="2" t="s">
        <v>12</v>
      </c>
      <c r="F376" s="2" t="s">
        <v>64</v>
      </c>
      <c r="G376" s="2" t="s">
        <v>1592</v>
      </c>
      <c r="H376" s="2" t="s">
        <v>65</v>
      </c>
      <c r="I376" s="2" t="n">
        <v>1</v>
      </c>
    </row>
    <row r="377" customFormat="false" ht="15" hidden="false" customHeight="false" outlineLevel="0" collapsed="false">
      <c r="A377" s="2" t="s">
        <v>2434</v>
      </c>
      <c r="B377" s="2" t="s">
        <v>2435</v>
      </c>
      <c r="C377" s="2" t="s">
        <v>1477</v>
      </c>
      <c r="D377" s="2" t="n">
        <v>2023</v>
      </c>
      <c r="E377" s="2" t="s">
        <v>12</v>
      </c>
      <c r="F377" s="2" t="s">
        <v>64</v>
      </c>
      <c r="G377" s="2" t="s">
        <v>1592</v>
      </c>
      <c r="H377" s="2" t="s">
        <v>65</v>
      </c>
      <c r="I377" s="2" t="n">
        <v>10</v>
      </c>
    </row>
    <row r="378" customFormat="false" ht="15" hidden="false" customHeight="false" outlineLevel="0" collapsed="false">
      <c r="A378" s="2" t="s">
        <v>2436</v>
      </c>
      <c r="B378" s="2" t="s">
        <v>2437</v>
      </c>
      <c r="C378" s="2" t="s">
        <v>2438</v>
      </c>
      <c r="D378" s="2" t="n">
        <v>2023</v>
      </c>
      <c r="E378" s="2" t="s">
        <v>12</v>
      </c>
      <c r="F378" s="2" t="s">
        <v>64</v>
      </c>
      <c r="G378" s="2" t="s">
        <v>1592</v>
      </c>
      <c r="H378" s="2" t="s">
        <v>65</v>
      </c>
      <c r="I378" s="2" t="n">
        <v>3</v>
      </c>
    </row>
    <row r="379" customFormat="false" ht="15" hidden="false" customHeight="false" outlineLevel="0" collapsed="false">
      <c r="A379" s="2" t="s">
        <v>2439</v>
      </c>
      <c r="B379" s="2" t="s">
        <v>2440</v>
      </c>
      <c r="C379" s="2" t="s">
        <v>2438</v>
      </c>
      <c r="D379" s="2" t="n">
        <v>2023</v>
      </c>
      <c r="E379" s="2" t="s">
        <v>12</v>
      </c>
      <c r="F379" s="2" t="s">
        <v>64</v>
      </c>
      <c r="G379" s="2" t="s">
        <v>1592</v>
      </c>
      <c r="H379" s="2" t="s">
        <v>65</v>
      </c>
      <c r="I379" s="2" t="n">
        <v>11</v>
      </c>
    </row>
    <row r="380" customFormat="false" ht="15" hidden="false" customHeight="false" outlineLevel="0" collapsed="false">
      <c r="A380" s="2" t="s">
        <v>2441</v>
      </c>
      <c r="B380" s="2" t="s">
        <v>2442</v>
      </c>
      <c r="C380" s="2" t="s">
        <v>1491</v>
      </c>
      <c r="D380" s="2" t="n">
        <v>2023</v>
      </c>
      <c r="E380" s="2" t="s">
        <v>12</v>
      </c>
      <c r="F380" s="2" t="s">
        <v>26</v>
      </c>
      <c r="G380" s="2" t="s">
        <v>1592</v>
      </c>
      <c r="H380" s="2" t="s">
        <v>2443</v>
      </c>
      <c r="I380" s="2" t="n">
        <v>0</v>
      </c>
    </row>
    <row r="381" customFormat="false" ht="15" hidden="false" customHeight="false" outlineLevel="0" collapsed="false">
      <c r="A381" s="2" t="s">
        <v>2444</v>
      </c>
      <c r="B381" s="2" t="s">
        <v>2445</v>
      </c>
      <c r="C381" s="2" t="s">
        <v>1491</v>
      </c>
      <c r="D381" s="2" t="n">
        <v>2023</v>
      </c>
      <c r="E381" s="2" t="s">
        <v>12</v>
      </c>
      <c r="F381" s="2" t="s">
        <v>64</v>
      </c>
      <c r="G381" s="2" t="s">
        <v>1592</v>
      </c>
      <c r="H381" s="2" t="s">
        <v>65</v>
      </c>
      <c r="I381" s="2" t="n">
        <v>16</v>
      </c>
    </row>
    <row r="382" customFormat="false" ht="15" hidden="false" customHeight="false" outlineLevel="0" collapsed="false">
      <c r="A382" s="2" t="s">
        <v>2446</v>
      </c>
      <c r="B382" s="2" t="s">
        <v>2447</v>
      </c>
      <c r="C382" s="2" t="s">
        <v>1491</v>
      </c>
      <c r="D382" s="2" t="n">
        <v>2023</v>
      </c>
      <c r="E382" s="2" t="s">
        <v>12</v>
      </c>
      <c r="F382" s="2" t="s">
        <v>64</v>
      </c>
      <c r="G382" s="2" t="s">
        <v>1592</v>
      </c>
      <c r="H382" s="2" t="s">
        <v>65</v>
      </c>
      <c r="I382" s="2" t="n">
        <v>0</v>
      </c>
    </row>
    <row r="383" customFormat="false" ht="15" hidden="false" customHeight="false" outlineLevel="0" collapsed="false">
      <c r="A383" s="2" t="s">
        <v>2448</v>
      </c>
      <c r="B383" s="2" t="s">
        <v>2449</v>
      </c>
      <c r="C383" s="2" t="s">
        <v>1502</v>
      </c>
      <c r="D383" s="2" t="n">
        <v>2023</v>
      </c>
      <c r="E383" s="2" t="s">
        <v>12</v>
      </c>
      <c r="F383" s="2" t="s">
        <v>64</v>
      </c>
      <c r="G383" s="2" t="s">
        <v>1592</v>
      </c>
      <c r="H383" s="2" t="s">
        <v>65</v>
      </c>
      <c r="I383" s="2" t="n">
        <v>47</v>
      </c>
    </row>
    <row r="384" customFormat="false" ht="15" hidden="false" customHeight="false" outlineLevel="0" collapsed="false">
      <c r="A384" s="2" t="s">
        <v>2450</v>
      </c>
      <c r="B384" s="2" t="s">
        <v>2451</v>
      </c>
      <c r="C384" s="2" t="s">
        <v>1502</v>
      </c>
      <c r="D384" s="2" t="n">
        <v>2023</v>
      </c>
      <c r="E384" s="2" t="s">
        <v>12</v>
      </c>
      <c r="F384" s="2" t="s">
        <v>64</v>
      </c>
      <c r="G384" s="2" t="s">
        <v>1592</v>
      </c>
      <c r="H384" s="2" t="s">
        <v>65</v>
      </c>
      <c r="I384" s="2" t="n">
        <v>5</v>
      </c>
    </row>
    <row r="385" customFormat="false" ht="15" hidden="false" customHeight="false" outlineLevel="0" collapsed="false">
      <c r="A385" s="2" t="s">
        <v>2452</v>
      </c>
      <c r="B385" s="2" t="s">
        <v>2453</v>
      </c>
      <c r="C385" s="2" t="s">
        <v>1502</v>
      </c>
      <c r="D385" s="2" t="n">
        <v>2023</v>
      </c>
      <c r="E385" s="2" t="s">
        <v>12</v>
      </c>
      <c r="F385" s="2" t="s">
        <v>13</v>
      </c>
      <c r="G385" s="2" t="s">
        <v>1592</v>
      </c>
      <c r="H385" s="2" t="s">
        <v>15</v>
      </c>
      <c r="I385" s="2" t="n">
        <v>4</v>
      </c>
    </row>
    <row r="386" customFormat="false" ht="15" hidden="false" customHeight="false" outlineLevel="0" collapsed="false">
      <c r="A386" s="2" t="s">
        <v>2454</v>
      </c>
      <c r="B386" s="2" t="s">
        <v>2455</v>
      </c>
      <c r="C386" s="2" t="s">
        <v>1507</v>
      </c>
      <c r="D386" s="2" t="n">
        <v>2023</v>
      </c>
      <c r="E386" s="2" t="s">
        <v>12</v>
      </c>
      <c r="F386" s="2" t="s">
        <v>64</v>
      </c>
      <c r="G386" s="2" t="s">
        <v>1592</v>
      </c>
      <c r="H386" s="2" t="s">
        <v>65</v>
      </c>
      <c r="I386" s="2" t="n">
        <v>1</v>
      </c>
    </row>
    <row r="387" customFormat="false" ht="15" hidden="false" customHeight="false" outlineLevel="0" collapsed="false">
      <c r="A387" s="2" t="s">
        <v>2456</v>
      </c>
      <c r="B387" s="2" t="s">
        <v>2457</v>
      </c>
      <c r="C387" s="2" t="s">
        <v>1507</v>
      </c>
      <c r="D387" s="2" t="n">
        <v>2023</v>
      </c>
      <c r="E387" s="2" t="s">
        <v>12</v>
      </c>
      <c r="F387" s="2" t="s">
        <v>64</v>
      </c>
      <c r="G387" s="2" t="s">
        <v>1592</v>
      </c>
      <c r="H387" s="2" t="s">
        <v>65</v>
      </c>
      <c r="I387" s="2" t="n">
        <v>1</v>
      </c>
    </row>
    <row r="388" customFormat="false" ht="15" hidden="false" customHeight="false" outlineLevel="0" collapsed="false">
      <c r="A388" s="2" t="s">
        <v>2458</v>
      </c>
      <c r="B388" s="2" t="s">
        <v>2459</v>
      </c>
      <c r="C388" s="2" t="s">
        <v>2460</v>
      </c>
      <c r="D388" s="2" t="n">
        <v>2023</v>
      </c>
      <c r="E388" s="2" t="s">
        <v>12</v>
      </c>
      <c r="F388" s="2" t="s">
        <v>18</v>
      </c>
      <c r="G388" s="2" t="s">
        <v>1592</v>
      </c>
      <c r="H388" s="2" t="s">
        <v>20</v>
      </c>
      <c r="I388" s="2" t="n">
        <v>5</v>
      </c>
    </row>
    <row r="389" customFormat="false" ht="15" hidden="false" customHeight="false" outlineLevel="0" collapsed="false">
      <c r="A389" s="2" t="s">
        <v>2461</v>
      </c>
      <c r="B389" s="2" t="s">
        <v>2462</v>
      </c>
      <c r="C389" s="2" t="s">
        <v>2460</v>
      </c>
      <c r="D389" s="2" t="n">
        <v>2023</v>
      </c>
      <c r="E389" s="2" t="s">
        <v>12</v>
      </c>
      <c r="F389" s="2" t="s">
        <v>64</v>
      </c>
      <c r="G389" s="2" t="s">
        <v>1592</v>
      </c>
      <c r="H389" s="2" t="s">
        <v>65</v>
      </c>
      <c r="I389" s="2" t="n">
        <v>1</v>
      </c>
    </row>
    <row r="390" customFormat="false" ht="15" hidden="false" customHeight="false" outlineLevel="0" collapsed="false">
      <c r="A390" s="2" t="s">
        <v>2463</v>
      </c>
      <c r="B390" s="2" t="s">
        <v>2464</v>
      </c>
      <c r="C390" s="2" t="s">
        <v>2460</v>
      </c>
      <c r="D390" s="2" t="n">
        <v>2023</v>
      </c>
      <c r="E390" s="2" t="s">
        <v>12</v>
      </c>
      <c r="F390" s="2" t="s">
        <v>64</v>
      </c>
      <c r="G390" s="2" t="s">
        <v>1592</v>
      </c>
      <c r="H390" s="2" t="s">
        <v>65</v>
      </c>
      <c r="I390" s="2" t="n">
        <v>0</v>
      </c>
    </row>
    <row r="391" customFormat="false" ht="15" hidden="false" customHeight="false" outlineLevel="0" collapsed="false">
      <c r="A391" s="2" t="s">
        <v>2465</v>
      </c>
      <c r="B391" s="2" t="s">
        <v>2466</v>
      </c>
      <c r="C391" s="2" t="s">
        <v>2467</v>
      </c>
      <c r="D391" s="2" t="n">
        <v>2023</v>
      </c>
      <c r="E391" s="2" t="s">
        <v>60</v>
      </c>
      <c r="F391" s="2" t="s">
        <v>314</v>
      </c>
      <c r="G391" s="2" t="s">
        <v>1592</v>
      </c>
      <c r="H391" s="2" t="s">
        <v>700</v>
      </c>
      <c r="I391" s="2" t="n">
        <v>0</v>
      </c>
    </row>
    <row r="392" customFormat="false" ht="15" hidden="false" customHeight="false" outlineLevel="0" collapsed="false">
      <c r="A392" s="2" t="s">
        <v>2468</v>
      </c>
      <c r="B392" s="2" t="s">
        <v>2469</v>
      </c>
      <c r="C392" s="2" t="s">
        <v>2470</v>
      </c>
      <c r="D392" s="2" t="n">
        <v>2023</v>
      </c>
      <c r="E392" s="2" t="s">
        <v>12</v>
      </c>
      <c r="F392" s="2" t="s">
        <v>64</v>
      </c>
      <c r="G392" s="2" t="s">
        <v>1592</v>
      </c>
      <c r="H392" s="2" t="s">
        <v>65</v>
      </c>
      <c r="I392" s="2" t="n">
        <v>4</v>
      </c>
    </row>
    <row r="393" customFormat="false" ht="15" hidden="false" customHeight="false" outlineLevel="0" collapsed="false">
      <c r="A393" s="2" t="s">
        <v>2471</v>
      </c>
      <c r="B393" s="2" t="s">
        <v>2472</v>
      </c>
      <c r="C393" s="2" t="s">
        <v>2470</v>
      </c>
      <c r="D393" s="2" t="n">
        <v>2023</v>
      </c>
      <c r="E393" s="2" t="s">
        <v>12</v>
      </c>
      <c r="F393" s="2" t="s">
        <v>64</v>
      </c>
      <c r="G393" s="2" t="s">
        <v>1592</v>
      </c>
      <c r="H393" s="2" t="s">
        <v>65</v>
      </c>
      <c r="I393" s="2" t="n">
        <v>39</v>
      </c>
    </row>
    <row r="394" customFormat="false" ht="15" hidden="false" customHeight="false" outlineLevel="0" collapsed="false">
      <c r="A394" s="2" t="s">
        <v>2473</v>
      </c>
      <c r="B394" s="2" t="s">
        <v>2474</v>
      </c>
      <c r="C394" s="2" t="s">
        <v>2470</v>
      </c>
      <c r="D394" s="2" t="n">
        <v>2023</v>
      </c>
      <c r="E394" s="2" t="s">
        <v>12</v>
      </c>
      <c r="F394" s="2" t="s">
        <v>64</v>
      </c>
      <c r="G394" s="2" t="s">
        <v>1592</v>
      </c>
      <c r="H394" s="2" t="s">
        <v>65</v>
      </c>
      <c r="I394" s="2" t="n">
        <v>18</v>
      </c>
    </row>
    <row r="395" customFormat="false" ht="15" hidden="false" customHeight="false" outlineLevel="0" collapsed="false">
      <c r="A395" s="2" t="s">
        <v>2475</v>
      </c>
      <c r="B395" s="2" t="s">
        <v>2476</v>
      </c>
      <c r="C395" s="2" t="s">
        <v>2477</v>
      </c>
      <c r="D395" s="2" t="n">
        <v>2023</v>
      </c>
      <c r="E395" s="2" t="s">
        <v>12</v>
      </c>
      <c r="F395" s="2" t="s">
        <v>908</v>
      </c>
      <c r="G395" s="2" t="s">
        <v>1592</v>
      </c>
      <c r="H395" s="2" t="s">
        <v>909</v>
      </c>
      <c r="I395" s="2" t="n">
        <v>0</v>
      </c>
    </row>
    <row r="396" customFormat="false" ht="15" hidden="false" customHeight="false" outlineLevel="0" collapsed="false">
      <c r="A396" s="2" t="s">
        <v>2478</v>
      </c>
      <c r="B396" s="2" t="s">
        <v>2479</v>
      </c>
      <c r="C396" s="2" t="s">
        <v>2477</v>
      </c>
      <c r="D396" s="2" t="n">
        <v>2023</v>
      </c>
      <c r="E396" s="2" t="s">
        <v>12</v>
      </c>
      <c r="F396" s="2" t="s">
        <v>64</v>
      </c>
      <c r="G396" s="2" t="s">
        <v>1592</v>
      </c>
      <c r="H396" s="2" t="s">
        <v>65</v>
      </c>
      <c r="I396" s="2" t="n">
        <v>0</v>
      </c>
    </row>
    <row r="397" customFormat="false" ht="15" hidden="false" customHeight="false" outlineLevel="0" collapsed="false">
      <c r="A397" s="2" t="s">
        <v>2480</v>
      </c>
      <c r="B397" s="2" t="s">
        <v>2481</v>
      </c>
      <c r="C397" s="2" t="s">
        <v>1521</v>
      </c>
      <c r="D397" s="2" t="n">
        <v>2023</v>
      </c>
      <c r="E397" s="2" t="s">
        <v>12</v>
      </c>
      <c r="F397" s="2" t="s">
        <v>64</v>
      </c>
      <c r="G397" s="2" t="s">
        <v>1592</v>
      </c>
      <c r="H397" s="2" t="s">
        <v>65</v>
      </c>
      <c r="I397" s="2" t="n">
        <v>61</v>
      </c>
    </row>
    <row r="398" customFormat="false" ht="15" hidden="false" customHeight="false" outlineLevel="0" collapsed="false">
      <c r="A398" s="2" t="s">
        <v>2482</v>
      </c>
      <c r="B398" s="2" t="s">
        <v>2483</v>
      </c>
      <c r="C398" s="2" t="s">
        <v>1521</v>
      </c>
      <c r="D398" s="2" t="n">
        <v>2023</v>
      </c>
      <c r="E398" s="2" t="s">
        <v>12</v>
      </c>
      <c r="F398" s="2" t="s">
        <v>64</v>
      </c>
      <c r="G398" s="2" t="s">
        <v>1592</v>
      </c>
      <c r="H398" s="2" t="s">
        <v>65</v>
      </c>
      <c r="I398" s="2" t="n">
        <v>19</v>
      </c>
    </row>
    <row r="399" customFormat="false" ht="15" hidden="false" customHeight="false" outlineLevel="0" collapsed="false">
      <c r="A399" s="2" t="s">
        <v>2484</v>
      </c>
      <c r="B399" s="2" t="s">
        <v>2485</v>
      </c>
      <c r="C399" s="2" t="s">
        <v>1526</v>
      </c>
      <c r="D399" s="2" t="n">
        <v>2023</v>
      </c>
      <c r="E399" s="2" t="s">
        <v>12</v>
      </c>
      <c r="F399" s="2" t="s">
        <v>64</v>
      </c>
      <c r="G399" s="2" t="s">
        <v>1592</v>
      </c>
      <c r="H399" s="2" t="s">
        <v>65</v>
      </c>
      <c r="I399" s="2" t="n">
        <v>0</v>
      </c>
    </row>
    <row r="400" customFormat="false" ht="15" hidden="false" customHeight="false" outlineLevel="0" collapsed="false">
      <c r="A400" s="2" t="s">
        <v>2486</v>
      </c>
      <c r="B400" s="2" t="s">
        <v>2487</v>
      </c>
      <c r="C400" s="2" t="s">
        <v>1526</v>
      </c>
      <c r="D400" s="2" t="n">
        <v>2023</v>
      </c>
      <c r="E400" s="2" t="s">
        <v>12</v>
      </c>
      <c r="F400" s="2" t="s">
        <v>64</v>
      </c>
      <c r="G400" s="2" t="s">
        <v>1592</v>
      </c>
      <c r="H400" s="2" t="s">
        <v>65</v>
      </c>
      <c r="I400" s="2" t="n">
        <v>0</v>
      </c>
    </row>
    <row r="401" customFormat="false" ht="15" hidden="false" customHeight="false" outlineLevel="0" collapsed="false">
      <c r="A401" s="2" t="s">
        <v>2488</v>
      </c>
      <c r="B401" s="2" t="s">
        <v>2489</v>
      </c>
      <c r="C401" s="2" t="s">
        <v>1526</v>
      </c>
      <c r="D401" s="2" t="n">
        <v>2023</v>
      </c>
      <c r="E401" s="2" t="s">
        <v>12</v>
      </c>
      <c r="F401" s="2" t="s">
        <v>64</v>
      </c>
      <c r="G401" s="2" t="s">
        <v>1592</v>
      </c>
      <c r="H401" s="2" t="s">
        <v>174</v>
      </c>
      <c r="I401" s="2" t="n">
        <v>0</v>
      </c>
    </row>
    <row r="402" customFormat="false" ht="15" hidden="false" customHeight="false" outlineLevel="0" collapsed="false">
      <c r="A402" s="2" t="s">
        <v>2490</v>
      </c>
      <c r="B402" s="2" t="s">
        <v>2491</v>
      </c>
      <c r="C402" s="2" t="s">
        <v>1526</v>
      </c>
      <c r="D402" s="2" t="n">
        <v>2023</v>
      </c>
      <c r="E402" s="2" t="s">
        <v>12</v>
      </c>
      <c r="F402" s="2" t="s">
        <v>64</v>
      </c>
      <c r="G402" s="2" t="s">
        <v>1592</v>
      </c>
      <c r="H402" s="2" t="s">
        <v>65</v>
      </c>
      <c r="I402" s="2" t="n">
        <v>6</v>
      </c>
    </row>
    <row r="403" customFormat="false" ht="15" hidden="false" customHeight="false" outlineLevel="0" collapsed="false">
      <c r="A403" s="2" t="s">
        <v>2492</v>
      </c>
      <c r="B403" s="2" t="s">
        <v>2493</v>
      </c>
      <c r="C403" s="2" t="s">
        <v>1526</v>
      </c>
      <c r="D403" s="2" t="n">
        <v>2023</v>
      </c>
      <c r="E403" s="2" t="s">
        <v>12</v>
      </c>
      <c r="F403" s="2" t="s">
        <v>64</v>
      </c>
      <c r="G403" s="2" t="s">
        <v>1592</v>
      </c>
      <c r="H403" s="2" t="s">
        <v>65</v>
      </c>
      <c r="I403" s="2" t="n">
        <v>17</v>
      </c>
    </row>
    <row r="404" customFormat="false" ht="15" hidden="false" customHeight="false" outlineLevel="0" collapsed="false">
      <c r="A404" s="2" t="s">
        <v>2494</v>
      </c>
      <c r="B404" s="2" t="s">
        <v>2495</v>
      </c>
      <c r="C404" s="2" t="s">
        <v>2496</v>
      </c>
      <c r="D404" s="2" t="n">
        <v>2023</v>
      </c>
      <c r="E404" s="2" t="s">
        <v>12</v>
      </c>
      <c r="F404" s="2" t="s">
        <v>64</v>
      </c>
      <c r="G404" s="2" t="s">
        <v>1592</v>
      </c>
      <c r="H404" s="2" t="s">
        <v>65</v>
      </c>
      <c r="I404" s="2" t="n">
        <v>2</v>
      </c>
    </row>
    <row r="405" customFormat="false" ht="15" hidden="false" customHeight="false" outlineLevel="0" collapsed="false">
      <c r="A405" s="2" t="s">
        <v>2497</v>
      </c>
      <c r="B405" s="2" t="s">
        <v>2498</v>
      </c>
      <c r="C405" s="2" t="s">
        <v>2496</v>
      </c>
      <c r="D405" s="2" t="n">
        <v>2023</v>
      </c>
      <c r="E405" s="2" t="s">
        <v>12</v>
      </c>
      <c r="F405" s="2" t="s">
        <v>64</v>
      </c>
      <c r="G405" s="2" t="s">
        <v>1592</v>
      </c>
      <c r="H405" s="2" t="s">
        <v>65</v>
      </c>
      <c r="I405" s="2" t="n">
        <v>28</v>
      </c>
    </row>
    <row r="406" customFormat="false" ht="15" hidden="false" customHeight="false" outlineLevel="0" collapsed="false">
      <c r="A406" s="2" t="s">
        <v>2499</v>
      </c>
      <c r="B406" s="2" t="s">
        <v>2500</v>
      </c>
      <c r="C406" s="2" t="s">
        <v>2501</v>
      </c>
      <c r="D406" s="2" t="n">
        <v>2023</v>
      </c>
      <c r="E406" s="2" t="s">
        <v>12</v>
      </c>
      <c r="F406" s="2" t="s">
        <v>64</v>
      </c>
      <c r="G406" s="2" t="s">
        <v>1592</v>
      </c>
      <c r="H406" s="2" t="s">
        <v>65</v>
      </c>
      <c r="I406" s="2" t="n">
        <v>0</v>
      </c>
    </row>
    <row r="407" customFormat="false" ht="15" hidden="false" customHeight="false" outlineLevel="0" collapsed="false">
      <c r="A407" s="2" t="s">
        <v>2502</v>
      </c>
      <c r="B407" s="2" t="s">
        <v>2503</v>
      </c>
      <c r="C407" s="2" t="s">
        <v>2501</v>
      </c>
      <c r="D407" s="2" t="n">
        <v>2023</v>
      </c>
      <c r="E407" s="2" t="s">
        <v>12</v>
      </c>
      <c r="F407" s="2" t="s">
        <v>908</v>
      </c>
      <c r="G407" s="2" t="s">
        <v>1592</v>
      </c>
      <c r="H407" s="2" t="s">
        <v>909</v>
      </c>
      <c r="I407" s="2" t="n">
        <v>1</v>
      </c>
    </row>
    <row r="408" customFormat="false" ht="15" hidden="false" customHeight="false" outlineLevel="0" collapsed="false">
      <c r="A408" s="2" t="s">
        <v>2504</v>
      </c>
      <c r="B408" s="2" t="s">
        <v>2505</v>
      </c>
      <c r="C408" s="2" t="s">
        <v>2506</v>
      </c>
      <c r="D408" s="2" t="n">
        <v>2023</v>
      </c>
      <c r="E408" s="2" t="s">
        <v>46</v>
      </c>
      <c r="F408" s="2" t="s">
        <v>26</v>
      </c>
      <c r="G408" s="2" t="s">
        <v>1592</v>
      </c>
      <c r="H408" s="2" t="s">
        <v>28</v>
      </c>
      <c r="I408" s="2" t="n">
        <v>0</v>
      </c>
    </row>
    <row r="409" customFormat="false" ht="15" hidden="false" customHeight="false" outlineLevel="0" collapsed="false">
      <c r="A409" s="2" t="s">
        <v>2507</v>
      </c>
      <c r="B409" s="2" t="s">
        <v>2508</v>
      </c>
      <c r="C409" s="2" t="s">
        <v>1530</v>
      </c>
      <c r="D409" s="2" t="n">
        <v>2023</v>
      </c>
      <c r="E409" s="2" t="s">
        <v>12</v>
      </c>
      <c r="F409" s="2" t="s">
        <v>908</v>
      </c>
      <c r="G409" s="2" t="s">
        <v>1592</v>
      </c>
      <c r="H409" s="2" t="s">
        <v>909</v>
      </c>
      <c r="I409" s="2" t="n">
        <v>0</v>
      </c>
    </row>
    <row r="410" customFormat="false" ht="15" hidden="false" customHeight="false" outlineLevel="0" collapsed="false">
      <c r="A410" s="2" t="s">
        <v>2509</v>
      </c>
      <c r="B410" s="2" t="s">
        <v>2510</v>
      </c>
      <c r="C410" s="2" t="s">
        <v>1530</v>
      </c>
      <c r="D410" s="2" t="n">
        <v>2023</v>
      </c>
      <c r="E410" s="2" t="s">
        <v>12</v>
      </c>
      <c r="F410" s="2" t="s">
        <v>64</v>
      </c>
      <c r="G410" s="2" t="s">
        <v>1592</v>
      </c>
      <c r="H410" s="2" t="s">
        <v>65</v>
      </c>
      <c r="I410" s="2" t="n">
        <v>3</v>
      </c>
    </row>
    <row r="411" customFormat="false" ht="15" hidden="false" customHeight="false" outlineLevel="0" collapsed="false">
      <c r="A411" s="2" t="s">
        <v>2511</v>
      </c>
      <c r="B411" s="2" t="s">
        <v>2512</v>
      </c>
      <c r="C411" s="2" t="s">
        <v>1535</v>
      </c>
      <c r="D411" s="2" t="n">
        <v>2023</v>
      </c>
      <c r="E411" s="2" t="s">
        <v>12</v>
      </c>
      <c r="F411" s="2" t="s">
        <v>26</v>
      </c>
      <c r="G411" s="2" t="s">
        <v>1592</v>
      </c>
      <c r="H411" s="2" t="s">
        <v>28</v>
      </c>
      <c r="I411" s="2" t="n">
        <v>6</v>
      </c>
    </row>
    <row r="412" customFormat="false" ht="15" hidden="false" customHeight="false" outlineLevel="0" collapsed="false">
      <c r="A412" s="2" t="s">
        <v>2513</v>
      </c>
      <c r="B412" s="2" t="s">
        <v>2514</v>
      </c>
      <c r="C412" s="2" t="s">
        <v>1541</v>
      </c>
      <c r="D412" s="2" t="n">
        <v>2023</v>
      </c>
      <c r="E412" s="2" t="s">
        <v>12</v>
      </c>
      <c r="F412" s="2" t="s">
        <v>26</v>
      </c>
      <c r="G412" s="2" t="s">
        <v>1592</v>
      </c>
      <c r="H412" s="2" t="s">
        <v>28</v>
      </c>
      <c r="I412" s="2" t="n">
        <v>14</v>
      </c>
    </row>
    <row r="413" customFormat="false" ht="15" hidden="false" customHeight="false" outlineLevel="0" collapsed="false">
      <c r="A413" s="2" t="s">
        <v>2515</v>
      </c>
      <c r="B413" s="2" t="s">
        <v>2516</v>
      </c>
      <c r="C413" s="2" t="s">
        <v>1544</v>
      </c>
      <c r="D413" s="2" t="n">
        <v>2023</v>
      </c>
      <c r="E413" s="2" t="s">
        <v>12</v>
      </c>
      <c r="F413" s="2" t="s">
        <v>64</v>
      </c>
      <c r="G413" s="2" t="s">
        <v>1592</v>
      </c>
      <c r="H413" s="2" t="s">
        <v>65</v>
      </c>
      <c r="I413" s="2" t="n">
        <v>0</v>
      </c>
    </row>
    <row r="414" customFormat="false" ht="15" hidden="false" customHeight="false" outlineLevel="0" collapsed="false">
      <c r="A414" s="2" t="s">
        <v>2517</v>
      </c>
      <c r="B414" s="2" t="s">
        <v>2518</v>
      </c>
      <c r="C414" s="2" t="s">
        <v>1544</v>
      </c>
      <c r="D414" s="2" t="n">
        <v>2023</v>
      </c>
      <c r="E414" s="2" t="s">
        <v>12</v>
      </c>
      <c r="F414" s="2" t="s">
        <v>26</v>
      </c>
      <c r="G414" s="2" t="s">
        <v>1592</v>
      </c>
      <c r="H414" s="2" t="s">
        <v>28</v>
      </c>
      <c r="I414" s="2" t="n">
        <v>0</v>
      </c>
    </row>
    <row r="415" customFormat="false" ht="15" hidden="false" customHeight="false" outlineLevel="0" collapsed="false">
      <c r="A415" s="2" t="s">
        <v>2519</v>
      </c>
      <c r="B415" s="2" t="s">
        <v>2520</v>
      </c>
      <c r="C415" s="2" t="s">
        <v>1547</v>
      </c>
      <c r="D415" s="2" t="n">
        <v>2023</v>
      </c>
      <c r="E415" s="2" t="s">
        <v>12</v>
      </c>
      <c r="F415" s="2" t="s">
        <v>64</v>
      </c>
      <c r="G415" s="2" t="s">
        <v>1592</v>
      </c>
      <c r="H415" s="2" t="s">
        <v>65</v>
      </c>
      <c r="I415" s="2" t="n">
        <v>13</v>
      </c>
    </row>
    <row r="416" customFormat="false" ht="15" hidden="false" customHeight="false" outlineLevel="0" collapsed="false">
      <c r="A416" s="2" t="s">
        <v>2521</v>
      </c>
      <c r="B416" s="2" t="s">
        <v>2522</v>
      </c>
      <c r="C416" s="2" t="s">
        <v>2523</v>
      </c>
      <c r="D416" s="2" t="n">
        <v>2023</v>
      </c>
      <c r="E416" s="2" t="s">
        <v>46</v>
      </c>
      <c r="F416" s="2" t="s">
        <v>908</v>
      </c>
      <c r="G416" s="2" t="s">
        <v>1592</v>
      </c>
      <c r="H416" s="2" t="s">
        <v>909</v>
      </c>
      <c r="I416" s="2" t="n">
        <v>0</v>
      </c>
    </row>
    <row r="417" customFormat="false" ht="15" hidden="false" customHeight="false" outlineLevel="0" collapsed="false">
      <c r="A417" s="2" t="s">
        <v>2524</v>
      </c>
      <c r="B417" s="2" t="s">
        <v>2525</v>
      </c>
      <c r="C417" s="2" t="s">
        <v>2526</v>
      </c>
      <c r="D417" s="2" t="n">
        <v>2023</v>
      </c>
      <c r="E417" s="2" t="s">
        <v>12</v>
      </c>
      <c r="F417" s="2" t="s">
        <v>64</v>
      </c>
      <c r="G417" s="2" t="s">
        <v>1592</v>
      </c>
      <c r="H417" s="2" t="s">
        <v>65</v>
      </c>
      <c r="I417" s="2" t="n">
        <v>19</v>
      </c>
    </row>
    <row r="418" customFormat="false" ht="15" hidden="false" customHeight="false" outlineLevel="0" collapsed="false">
      <c r="A418" s="2" t="s">
        <v>2527</v>
      </c>
      <c r="B418" s="2" t="s">
        <v>2528</v>
      </c>
      <c r="C418" s="2" t="s">
        <v>2526</v>
      </c>
      <c r="D418" s="2" t="n">
        <v>2023</v>
      </c>
      <c r="E418" s="2" t="s">
        <v>12</v>
      </c>
      <c r="F418" s="2" t="s">
        <v>64</v>
      </c>
      <c r="G418" s="2" t="s">
        <v>1592</v>
      </c>
      <c r="H418" s="2" t="s">
        <v>65</v>
      </c>
      <c r="I418" s="2" t="n">
        <v>34</v>
      </c>
    </row>
    <row r="419" customFormat="false" ht="15" hidden="false" customHeight="false" outlineLevel="0" collapsed="false">
      <c r="A419" s="2" t="s">
        <v>2529</v>
      </c>
      <c r="B419" s="2" t="s">
        <v>2530</v>
      </c>
      <c r="C419" s="2" t="s">
        <v>2526</v>
      </c>
      <c r="D419" s="2" t="n">
        <v>2023</v>
      </c>
      <c r="E419" s="2" t="s">
        <v>12</v>
      </c>
      <c r="F419" s="2" t="s">
        <v>64</v>
      </c>
      <c r="G419" s="2" t="s">
        <v>1592</v>
      </c>
      <c r="H419" s="2" t="s">
        <v>65</v>
      </c>
      <c r="I419" s="2" t="n">
        <v>30</v>
      </c>
    </row>
    <row r="420" customFormat="false" ht="15" hidden="false" customHeight="false" outlineLevel="0" collapsed="false">
      <c r="A420" s="2" t="s">
        <v>2531</v>
      </c>
      <c r="B420" s="2" t="s">
        <v>2532</v>
      </c>
      <c r="C420" s="2" t="s">
        <v>1557</v>
      </c>
      <c r="D420" s="2" t="n">
        <v>2023</v>
      </c>
      <c r="E420" s="2" t="s">
        <v>46</v>
      </c>
      <c r="F420" s="2" t="s">
        <v>26</v>
      </c>
      <c r="G420" s="2" t="s">
        <v>1592</v>
      </c>
      <c r="H420" s="2" t="s">
        <v>28</v>
      </c>
      <c r="I420" s="2" t="n">
        <v>0</v>
      </c>
    </row>
    <row r="421" customFormat="false" ht="15" hidden="false" customHeight="false" outlineLevel="0" collapsed="false">
      <c r="A421" s="2" t="s">
        <v>2533</v>
      </c>
      <c r="B421" s="2" t="s">
        <v>2534</v>
      </c>
      <c r="C421" s="2" t="s">
        <v>2535</v>
      </c>
      <c r="D421" s="2" t="n">
        <v>2023</v>
      </c>
      <c r="E421" s="2" t="s">
        <v>12</v>
      </c>
      <c r="F421" s="2" t="s">
        <v>908</v>
      </c>
      <c r="G421" s="2" t="s">
        <v>1592</v>
      </c>
      <c r="H421" s="2" t="s">
        <v>909</v>
      </c>
      <c r="I421" s="2" t="n">
        <v>2</v>
      </c>
    </row>
    <row r="422" customFormat="false" ht="15" hidden="false" customHeight="false" outlineLevel="0" collapsed="false">
      <c r="A422" s="2" t="s">
        <v>2536</v>
      </c>
      <c r="B422" s="2" t="s">
        <v>2537</v>
      </c>
      <c r="C422" s="2" t="s">
        <v>2538</v>
      </c>
      <c r="D422" s="2" t="n">
        <v>2023</v>
      </c>
      <c r="E422" s="2" t="s">
        <v>12</v>
      </c>
      <c r="F422" s="2" t="s">
        <v>64</v>
      </c>
      <c r="G422" s="2" t="s">
        <v>1592</v>
      </c>
      <c r="H422" s="2" t="s">
        <v>65</v>
      </c>
      <c r="I422" s="2" t="n">
        <v>19</v>
      </c>
    </row>
    <row r="423" customFormat="false" ht="15" hidden="false" customHeight="false" outlineLevel="0" collapsed="false">
      <c r="A423" s="2" t="s">
        <v>2539</v>
      </c>
      <c r="B423" s="2" t="s">
        <v>2540</v>
      </c>
      <c r="C423" s="2" t="s">
        <v>1569</v>
      </c>
      <c r="D423" s="2" t="n">
        <v>2023</v>
      </c>
      <c r="E423" s="2" t="s">
        <v>12</v>
      </c>
      <c r="F423" s="2" t="s">
        <v>64</v>
      </c>
      <c r="G423" s="2" t="s">
        <v>1592</v>
      </c>
      <c r="H423" s="2" t="s">
        <v>65</v>
      </c>
      <c r="I423" s="2" t="n">
        <v>0</v>
      </c>
    </row>
    <row r="424" customFormat="false" ht="15" hidden="false" customHeight="false" outlineLevel="0" collapsed="false">
      <c r="A424" s="2" t="s">
        <v>2541</v>
      </c>
      <c r="B424" s="2" t="s">
        <v>2542</v>
      </c>
      <c r="C424" s="2" t="s">
        <v>2543</v>
      </c>
      <c r="D424" s="2" t="n">
        <v>2023</v>
      </c>
      <c r="E424" s="2" t="s">
        <v>46</v>
      </c>
      <c r="F424" s="2" t="s">
        <v>908</v>
      </c>
      <c r="G424" s="2" t="s">
        <v>1592</v>
      </c>
      <c r="H424" s="2" t="s">
        <v>909</v>
      </c>
      <c r="I424" s="2" t="n">
        <v>0</v>
      </c>
    </row>
    <row r="425" customFormat="false" ht="15" hidden="false" customHeight="false" outlineLevel="0" collapsed="false">
      <c r="A425" s="2" t="s">
        <v>2544</v>
      </c>
      <c r="B425" s="2" t="s">
        <v>2545</v>
      </c>
      <c r="C425" s="2" t="s">
        <v>2546</v>
      </c>
      <c r="D425" s="2" t="n">
        <v>2023</v>
      </c>
      <c r="E425" s="2" t="s">
        <v>46</v>
      </c>
      <c r="F425" s="2" t="s">
        <v>26</v>
      </c>
      <c r="G425" s="2" t="s">
        <v>1592</v>
      </c>
      <c r="H425" s="2" t="s">
        <v>28</v>
      </c>
      <c r="I425" s="2" t="n">
        <v>0</v>
      </c>
    </row>
    <row r="426" customFormat="false" ht="15" hidden="false" customHeight="false" outlineLevel="0" collapsed="false">
      <c r="A426" s="2" t="s">
        <v>2547</v>
      </c>
      <c r="B426" s="2" t="s">
        <v>2548</v>
      </c>
      <c r="C426" s="2" t="s">
        <v>1575</v>
      </c>
      <c r="D426" s="2" t="n">
        <v>2023</v>
      </c>
      <c r="E426" s="2" t="s">
        <v>12</v>
      </c>
      <c r="F426" s="2" t="s">
        <v>908</v>
      </c>
      <c r="G426" s="2" t="s">
        <v>1592</v>
      </c>
      <c r="H426" s="2" t="s">
        <v>909</v>
      </c>
      <c r="I426" s="2" t="n">
        <v>1</v>
      </c>
    </row>
    <row r="427" customFormat="false" ht="15" hidden="false" customHeight="false" outlineLevel="0" collapsed="false">
      <c r="A427" s="2" t="s">
        <v>2549</v>
      </c>
      <c r="B427" s="2" t="s">
        <v>2550</v>
      </c>
      <c r="C427" s="2" t="s">
        <v>2551</v>
      </c>
      <c r="D427" s="2" t="n">
        <v>2023</v>
      </c>
      <c r="E427" s="2" t="s">
        <v>12</v>
      </c>
      <c r="F427" s="2" t="s">
        <v>908</v>
      </c>
      <c r="G427" s="2" t="s">
        <v>1592</v>
      </c>
      <c r="H427" s="2" t="s">
        <v>909</v>
      </c>
      <c r="I427" s="2" t="n">
        <v>0</v>
      </c>
    </row>
    <row r="428" customFormat="false" ht="15" hidden="false" customHeight="false" outlineLevel="0" collapsed="false">
      <c r="A428" s="2" t="s">
        <v>2552</v>
      </c>
      <c r="B428" s="2" t="s">
        <v>2553</v>
      </c>
      <c r="C428" s="2" t="s">
        <v>2554</v>
      </c>
      <c r="D428" s="2" t="n">
        <v>2023</v>
      </c>
      <c r="E428" s="2" t="s">
        <v>12</v>
      </c>
      <c r="F428" s="2" t="s">
        <v>155</v>
      </c>
      <c r="G428" s="2" t="s">
        <v>1592</v>
      </c>
      <c r="H428" s="2" t="s">
        <v>371</v>
      </c>
      <c r="I428" s="2" t="n">
        <v>2</v>
      </c>
    </row>
    <row r="429" customFormat="false" ht="15" hidden="false" customHeight="false" outlineLevel="0" collapsed="false">
      <c r="A429" s="2" t="s">
        <v>2555</v>
      </c>
      <c r="B429" s="2" t="s">
        <v>2556</v>
      </c>
      <c r="C429" s="2" t="s">
        <v>2554</v>
      </c>
      <c r="D429" s="2" t="n">
        <v>2023</v>
      </c>
      <c r="E429" s="2" t="s">
        <v>12</v>
      </c>
      <c r="F429" s="2" t="s">
        <v>155</v>
      </c>
      <c r="G429" s="2" t="s">
        <v>1592</v>
      </c>
      <c r="H429" s="2" t="s">
        <v>156</v>
      </c>
      <c r="I429" s="2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2026-07-03T03:29:43Z</dcterms:created>
  <dc:creator>openpyxl</dc:creator>
  <dc:description/>
  <dc:language>en-US</dc:language>
  <cp:lastModifiedBy/>
  <dcterms:modified xsi:type="dcterms:W3CDTF">2026-07-03T03:29:43Z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